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14X7" sheetId="1" r:id="rId4"/>
  </sheets>
  <externalReferences>
    <externalReference r:id="rId5"/>
    <externalReference r:id="rId6"/>
  </externalReferences>
  <definedNames>
    <definedName hidden="1" localSheetId="0" name="Z_6F0452C7_95A0_401B_9DD4_DA993D8E8FD7_.wvu.FilterData">'DIAGRAMA 14X7'!$B$1:$JZ$585</definedName>
    <definedName hidden="1" localSheetId="0" name="Z_34FF685E_66AC_4353_AD73_2C5BF1E5E7D0_.wvu.FilterData">'DIAGRAMA 14X7'!$B$1:$JZ$585</definedName>
  </definedNames>
  <calcPr/>
  <customWorkbookViews>
    <customWorkbookView activeSheetId="0" maximized="1" windowHeight="0" windowWidth="0" guid="{6F0452C7-95A0-401B-9DD4-DA993D8E8FD7}" name="TER PACHECO"/>
    <customWorkbookView activeSheetId="0" maximized="1" windowHeight="0" windowWidth="0" guid="{34FF685E-66AC-4353-AD73-2C5BF1E5E7D0}" name="TER AYARDE"/>
  </customWorkbookViews>
  <extLst>
    <ext uri="GoogleSheetsCustomDataVersion2">
      <go:sheetsCustomData xmlns:go="http://customooxmlschemas.google.com/" r:id="rId7" roundtripDataChecksum="8ast9cLKbYxmuSdv4ZYagaZg/VG79bP2gAY+KwXqU0A="/>
    </ext>
  </extLst>
</workbook>
</file>

<file path=xl/sharedStrings.xml><?xml version="1.0" encoding="utf-8"?>
<sst xmlns="http://schemas.openxmlformats.org/spreadsheetml/2006/main" count="535" uniqueCount="38">
  <si>
    <t>SUP</t>
  </si>
  <si>
    <t>ESP</t>
  </si>
  <si>
    <t xml:space="preserve">APELLIDO Y NOMBRE </t>
  </si>
  <si>
    <t>DNI</t>
  </si>
  <si>
    <t>TELEFONO</t>
  </si>
  <si>
    <t>PUNTO ASCENSO/DESCENSO</t>
  </si>
  <si>
    <t>CATEGORIA REAL</t>
  </si>
  <si>
    <t>GRUPO</t>
  </si>
  <si>
    <t>TIPO</t>
  </si>
  <si>
    <t>RESIDENCIA</t>
  </si>
  <si>
    <t xml:space="preserve">MAMANI JUAN </t>
  </si>
  <si>
    <t>AEROPUERTO DE SALTA/TERMINAL DE SALTA</t>
  </si>
  <si>
    <t>COORDIANDOR QA/QC</t>
  </si>
  <si>
    <t>CALIDAD</t>
  </si>
  <si>
    <t>INDIRECTO</t>
  </si>
  <si>
    <t>JUJUY</t>
  </si>
  <si>
    <t>S</t>
  </si>
  <si>
    <t>B</t>
  </si>
  <si>
    <t>D</t>
  </si>
  <si>
    <t xml:space="preserve">ZAMBRANA GABRIEL </t>
  </si>
  <si>
    <t>SALTA</t>
  </si>
  <si>
    <t>CRUZ SAUL</t>
  </si>
  <si>
    <t>SUPERVISOR QA/QC</t>
  </si>
  <si>
    <t>RODRIGO TARCAYA</t>
  </si>
  <si>
    <t>LIZONDO CAROLINA</t>
  </si>
  <si>
    <t>TUCUMAN</t>
  </si>
  <si>
    <t>GALLARDO JULIAN</t>
  </si>
  <si>
    <t>GUADALUPE CHAVEZ</t>
  </si>
  <si>
    <t>ROSALES GABRIELA</t>
  </si>
  <si>
    <t>CORTES ALEJANDRA</t>
  </si>
  <si>
    <t>SILVINA BENITEZ</t>
  </si>
  <si>
    <t>RODRIGO AGUIERRE</t>
  </si>
  <si>
    <t>JOSEFINA SINGH</t>
  </si>
  <si>
    <t>DIRECTOS EN SITIO POR DIA</t>
  </si>
  <si>
    <t>INDIRECTOS EN SITIO POR DIA</t>
  </si>
  <si>
    <t>TOTAL: DIRECTOS + INDIRECTOS EN SITIO POR DIA</t>
  </si>
  <si>
    <t xml:space="preserve"> </t>
  </si>
  <si>
    <t>PORCENTAJE DE LOCALES EN SITIO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</si>
</sst>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_-&quot;$&quot;\ * #,##0.00_-;\-&quot;$&quot;\ * #,##0.00_-;_-&quot;$&quot;\ * &quot;-&quot;??_-;_-@"/>
  </numFmts>
  <fonts count="17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ptos Narrow"/>
    </font>
    <font>
      <b/>
      <sz val="10.0"/>
      <color theme="1"/>
      <name val="Aptos Narrow"/>
    </font>
    <font>
      <b/>
      <sz val="11.0"/>
      <color rgb="FF000000"/>
      <name val="Arial"/>
    </font>
    <font>
      <b/>
      <sz val="11.0"/>
      <color rgb="FF000000"/>
      <name val="Aptos Narrow"/>
    </font>
    <font>
      <sz val="10.0"/>
      <color theme="1"/>
      <name val="Aptos Narrow"/>
    </font>
    <font>
      <sz val="8.0"/>
      <color theme="1"/>
      <name val="Arial"/>
    </font>
    <font>
      <sz val="10.0"/>
      <color theme="1"/>
      <name val="Arial"/>
    </font>
    <font>
      <sz val="11.0"/>
      <color rgb="FFF1A983"/>
      <name val="Arial"/>
    </font>
    <font>
      <sz val="7.0"/>
      <color theme="1"/>
      <name val="Aptos Narrow"/>
    </font>
    <font>
      <color theme="1"/>
      <name val="Arial"/>
    </font>
    <font>
      <sz val="9.0"/>
      <color theme="1"/>
      <name val="Aptos Narrow"/>
    </font>
    <font>
      <sz val="10.0"/>
      <color rgb="FFFF0000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49EDD"/>
        <bgColor rgb="FFE49EDD"/>
      </patternFill>
    </fill>
    <fill>
      <patternFill patternType="solid">
        <fgColor rgb="FFB3E5A1"/>
        <bgColor rgb="FFB3E5A1"/>
      </patternFill>
    </fill>
    <fill>
      <patternFill patternType="solid">
        <fgColor rgb="FF84E291"/>
        <bgColor rgb="FF84E291"/>
      </patternFill>
    </fill>
    <fill>
      <patternFill patternType="solid">
        <fgColor rgb="FFF1A983"/>
        <bgColor rgb="FFF1A983"/>
      </patternFill>
    </fill>
    <fill>
      <patternFill patternType="solid">
        <fgColor rgb="FFFAE2D5"/>
        <bgColor rgb="FFFAE2D5"/>
      </patternFill>
    </fill>
    <fill>
      <patternFill patternType="solid">
        <fgColor rgb="FFD9F2D0"/>
        <bgColor rgb="FFD9F2D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0" fillId="0" fontId="2" numFmtId="0" xfId="0" applyFont="1"/>
    <xf borderId="0" fillId="0" fontId="5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7" numFmtId="0" xfId="0" applyFont="1"/>
    <xf borderId="0" fillId="0" fontId="8" numFmtId="0" xfId="0" applyFont="1"/>
    <xf borderId="2" fillId="2" fontId="4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5" fillId="2" fontId="6" numFmtId="164" xfId="0" applyAlignment="1" applyBorder="1" applyFont="1" applyNumberFormat="1">
      <alignment horizontal="center" textRotation="90" vertical="top"/>
    </xf>
    <xf borderId="5" fillId="2" fontId="3" numFmtId="164" xfId="0" applyAlignment="1" applyBorder="1" applyFont="1" applyNumberFormat="1">
      <alignment horizontal="center" textRotation="90" vertical="top"/>
    </xf>
    <xf borderId="5" fillId="2" fontId="9" numFmtId="164" xfId="0" applyAlignment="1" applyBorder="1" applyFont="1" applyNumberFormat="1">
      <alignment horizontal="center" textRotation="90" vertical="top"/>
    </xf>
    <xf borderId="3" fillId="2" fontId="6" numFmtId="164" xfId="0" applyAlignment="1" applyBorder="1" applyFont="1" applyNumberFormat="1">
      <alignment horizontal="center" textRotation="90" vertical="top"/>
    </xf>
    <xf borderId="0" fillId="0" fontId="5" numFmtId="0" xfId="0" applyFont="1"/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/>
    </xf>
    <xf borderId="1" fillId="4" fontId="2" numFmtId="0" xfId="0" applyBorder="1" applyFont="1"/>
    <xf borderId="1" fillId="5" fontId="11" numFmtId="0" xfId="0" applyAlignment="1" applyBorder="1" applyFill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6" fontId="9" numFmtId="0" xfId="0" applyAlignment="1" applyBorder="1" applyFill="1" applyFont="1">
      <alignment horizontal="center" vertical="center"/>
    </xf>
    <xf borderId="6" fillId="5" fontId="11" numFmtId="0" xfId="0" applyAlignment="1" applyBorder="1" applyFont="1">
      <alignment horizontal="center" vertical="center"/>
    </xf>
    <xf borderId="1" fillId="7" fontId="2" numFmtId="0" xfId="0" applyAlignment="1" applyBorder="1" applyFill="1" applyFont="1">
      <alignment horizontal="left" vertical="center"/>
    </xf>
    <xf borderId="1" fillId="8" fontId="9" numFmtId="0" xfId="0" applyBorder="1" applyFill="1" applyFont="1"/>
    <xf borderId="1" fillId="8" fontId="9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/>
    </xf>
    <xf borderId="1" fillId="9" fontId="2" numFmtId="0" xfId="0" applyAlignment="1" applyBorder="1" applyFill="1" applyFont="1">
      <alignment horizontal="left" vertical="center"/>
    </xf>
    <xf borderId="1" fillId="5" fontId="2" numFmtId="0" xfId="0" applyAlignment="1" applyBorder="1" applyFont="1">
      <alignment horizontal="left" vertical="center"/>
    </xf>
    <xf borderId="1" fillId="10" fontId="2" numFmtId="0" xfId="0" applyAlignment="1" applyBorder="1" applyFill="1" applyFont="1">
      <alignment horizontal="center"/>
    </xf>
    <xf borderId="1" fillId="11" fontId="12" numFmtId="0" xfId="0" applyAlignment="1" applyBorder="1" applyFill="1" applyFont="1">
      <alignment horizontal="center"/>
    </xf>
    <xf borderId="1" fillId="12" fontId="2" numFmtId="0" xfId="0" applyAlignment="1" applyBorder="1" applyFill="1" applyFont="1">
      <alignment horizontal="center"/>
    </xf>
    <xf borderId="1" fillId="13" fontId="2" numFmtId="0" xfId="0" applyAlignment="1" applyBorder="1" applyFill="1" applyFont="1">
      <alignment horizontal="center"/>
    </xf>
    <xf borderId="6" fillId="13" fontId="2" numFmtId="0" xfId="0" applyAlignment="1" applyBorder="1" applyFont="1">
      <alignment horizontal="center" vertical="center"/>
    </xf>
    <xf borderId="1" fillId="0" fontId="5" numFmtId="0" xfId="0" applyBorder="1" applyFont="1"/>
    <xf borderId="7" fillId="0" fontId="5" numFmtId="0" xfId="0" applyBorder="1" applyFont="1"/>
    <xf borderId="8" fillId="14" fontId="2" numFmtId="0" xfId="0" applyAlignment="1" applyBorder="1" applyFill="1" applyFont="1">
      <alignment horizontal="left" vertical="center"/>
    </xf>
    <xf borderId="8" fillId="4" fontId="2" numFmtId="0" xfId="0" applyAlignment="1" applyBorder="1" applyFont="1">
      <alignment horizontal="center"/>
    </xf>
    <xf borderId="8" fillId="4" fontId="2" numFmtId="0" xfId="0" applyAlignment="1" applyBorder="1" applyFont="1">
      <alignment horizontal="center" vertical="center"/>
    </xf>
    <xf borderId="8" fillId="4" fontId="2" numFmtId="0" xfId="0" applyBorder="1" applyFont="1"/>
    <xf borderId="8" fillId="5" fontId="9" numFmtId="0" xfId="0" applyAlignment="1" applyBorder="1" applyFont="1">
      <alignment horizontal="center" vertical="center"/>
    </xf>
    <xf borderId="8" fillId="5" fontId="11" numFmtId="0" xfId="0" applyAlignment="1" applyBorder="1" applyFont="1">
      <alignment horizontal="center" vertical="center"/>
    </xf>
    <xf borderId="8" fillId="5" fontId="2" numFmtId="0" xfId="0" applyAlignment="1" applyBorder="1" applyFont="1">
      <alignment horizontal="left" vertical="center"/>
    </xf>
    <xf borderId="8" fillId="6" fontId="9" numFmtId="0" xfId="0" applyAlignment="1" applyBorder="1" applyFont="1">
      <alignment horizontal="center" vertical="center"/>
    </xf>
    <xf borderId="8" fillId="15" fontId="9" numFmtId="0" xfId="0" applyAlignment="1" applyBorder="1" applyFill="1" applyFont="1">
      <alignment horizontal="center" vertical="center"/>
    </xf>
    <xf borderId="8" fillId="5" fontId="2" numFmtId="0" xfId="0" applyAlignment="1" applyBorder="1" applyFont="1">
      <alignment horizontal="center"/>
    </xf>
    <xf borderId="8" fillId="5" fontId="2" numFmtId="0" xfId="0" applyBorder="1" applyFont="1"/>
    <xf borderId="8" fillId="5" fontId="2" numFmtId="0" xfId="0" applyAlignment="1" applyBorder="1" applyFont="1">
      <alignment horizontal="center" vertical="center"/>
    </xf>
    <xf borderId="9" fillId="5" fontId="2" numFmtId="0" xfId="0" applyAlignment="1" applyBorder="1" applyFont="1">
      <alignment horizontal="center"/>
    </xf>
    <xf borderId="10" fillId="5" fontId="2" numFmtId="0" xfId="0" applyAlignment="1" applyBorder="1" applyFont="1">
      <alignment horizontal="center"/>
    </xf>
    <xf borderId="10" fillId="5" fontId="2" numFmtId="0" xfId="0" applyBorder="1" applyFont="1"/>
    <xf borderId="8" fillId="5" fontId="4" numFmtId="0" xfId="0" applyAlignment="1" applyBorder="1" applyFont="1">
      <alignment horizontal="right" vertical="center"/>
    </xf>
    <xf borderId="10" fillId="5" fontId="13" numFmtId="0" xfId="0" applyBorder="1" applyFont="1"/>
    <xf borderId="10" fillId="5" fontId="9" numFmtId="0" xfId="0" applyAlignment="1" applyBorder="1" applyFont="1">
      <alignment horizontal="center" vertical="center"/>
    </xf>
    <xf borderId="10" fillId="6" fontId="13" numFmtId="0" xfId="0" applyBorder="1" applyFont="1"/>
    <xf borderId="10" fillId="5" fontId="13" numFmtId="0" xfId="0" applyAlignment="1" applyBorder="1" applyFont="1">
      <alignment horizontal="center" vertical="center"/>
    </xf>
    <xf borderId="8" fillId="5" fontId="13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5" fontId="13" numFmtId="0" xfId="0" applyBorder="1" applyFont="1"/>
    <xf borderId="1" fillId="6" fontId="13" numFmtId="0" xfId="0" applyBorder="1" applyFont="1"/>
    <xf borderId="1" fillId="5" fontId="13" numFmtId="0" xfId="0" applyAlignment="1" applyBorder="1" applyFont="1">
      <alignment horizontal="center" vertical="center"/>
    </xf>
    <xf borderId="0" fillId="0" fontId="14" numFmtId="0" xfId="0" applyAlignment="1" applyFont="1">
      <alignment readingOrder="0"/>
    </xf>
    <xf borderId="1" fillId="0" fontId="2" numFmtId="0" xfId="0" applyAlignment="1" applyBorder="1" applyFont="1">
      <alignment horizontal="right"/>
    </xf>
    <xf borderId="8" fillId="5" fontId="4" numFmtId="0" xfId="0" applyAlignment="1" applyBorder="1" applyFont="1">
      <alignment horizontal="center" vertical="center"/>
    </xf>
    <xf borderId="1" fillId="5" fontId="15" numFmtId="9" xfId="0" applyAlignment="1" applyBorder="1" applyFont="1" applyNumberFormat="1">
      <alignment horizontal="center" textRotation="90" vertical="center"/>
    </xf>
    <xf borderId="1" fillId="6" fontId="15" numFmtId="9" xfId="0" applyAlignment="1" applyBorder="1" applyFont="1" applyNumberFormat="1">
      <alignment horizontal="center" textRotation="90" vertical="center"/>
    </xf>
    <xf borderId="8" fillId="5" fontId="15" numFmtId="9" xfId="0" applyAlignment="1" applyBorder="1" applyFont="1" applyNumberFormat="1">
      <alignment horizontal="center" textRotation="90" vertical="center"/>
    </xf>
    <xf borderId="0" fillId="0" fontId="11" numFmtId="0" xfId="0" applyAlignment="1" applyFont="1">
      <alignment horizontal="center"/>
    </xf>
    <xf borderId="8" fillId="5" fontId="9" numFmtId="0" xfId="0" applyBorder="1" applyFont="1"/>
    <xf borderId="8" fillId="6" fontId="9" numFmtId="0" xfId="0" applyBorder="1" applyFont="1"/>
    <xf borderId="0" fillId="0" fontId="9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8" fillId="16" fontId="16" numFmtId="0" xfId="0" applyBorder="1" applyFill="1" applyFont="1"/>
    <xf borderId="0" fillId="0" fontId="2" numFmtId="165" xfId="0" applyFont="1" applyNumberFormat="1"/>
    <xf borderId="1" fillId="5" fontId="9" numFmtId="0" xfId="0" applyAlignment="1" applyBorder="1" applyFont="1">
      <alignment horizontal="center" shrinkToFit="0" vertical="center" wrapText="1"/>
    </xf>
    <xf borderId="1" fillId="17" fontId="9" numFmtId="0" xfId="0" applyAlignment="1" applyBorder="1" applyFill="1" applyFont="1">
      <alignment horizontal="center" vertical="center"/>
    </xf>
    <xf borderId="8" fillId="6" fontId="5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D8D8D8"/>
          <bgColor rgb="FFD8D8D8"/>
        </patternFill>
      </fill>
      <border/>
    </dxf>
    <dxf>
      <font>
        <color rgb="FFF1A983"/>
      </font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F1A983"/>
          <bgColor rgb="FFF1A983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>
        <color rgb="FFEE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Lista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PERSONAL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st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ERSONAL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hidden="1" min="1" max="1" width="22.75"/>
    <col customWidth="1" hidden="1" min="2" max="2" width="14.0"/>
    <col customWidth="1" hidden="1" min="3" max="3" width="6.13"/>
    <col customWidth="1" min="4" max="4" width="26.13"/>
    <col customWidth="1" min="5" max="5" width="11.75"/>
    <col customWidth="1" min="6" max="6" width="13.25"/>
    <col customWidth="1" min="7" max="7" width="34.63"/>
    <col customWidth="1" min="8" max="8" width="24.38"/>
    <col customWidth="1" min="9" max="9" width="14.38"/>
    <col customWidth="1" min="10" max="10" width="13.13"/>
    <col customWidth="1" min="11" max="11" width="16.75"/>
    <col customWidth="1" min="12" max="283" width="5.13"/>
  </cols>
  <sheetData>
    <row r="1" ht="15.0" customHeight="1">
      <c r="A1" s="1"/>
      <c r="D1" s="2"/>
      <c r="E1" s="3"/>
      <c r="F1" s="3"/>
      <c r="G1" s="4"/>
      <c r="H1" s="4"/>
      <c r="I1" s="5"/>
      <c r="J1" s="4"/>
      <c r="K1" s="6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8" t="str">
        <f t="shared" ref="FH1:JW1" si="1">TEXT(FH2,"ddd")</f>
        <v>dom</v>
      </c>
      <c r="FI1" s="8" t="str">
        <f t="shared" si="1"/>
        <v>lun</v>
      </c>
      <c r="FJ1" s="8" t="str">
        <f t="shared" si="1"/>
        <v>mar</v>
      </c>
      <c r="FK1" s="8" t="str">
        <f t="shared" si="1"/>
        <v>mié</v>
      </c>
      <c r="FL1" s="8" t="str">
        <f t="shared" si="1"/>
        <v>jue</v>
      </c>
      <c r="FM1" s="8" t="str">
        <f t="shared" si="1"/>
        <v>vie</v>
      </c>
      <c r="FN1" s="8" t="str">
        <f t="shared" si="1"/>
        <v>sáb</v>
      </c>
      <c r="FO1" s="8" t="str">
        <f t="shared" si="1"/>
        <v>dom</v>
      </c>
      <c r="FP1" s="8" t="str">
        <f t="shared" si="1"/>
        <v>lun</v>
      </c>
      <c r="FQ1" s="8" t="str">
        <f t="shared" si="1"/>
        <v>mar</v>
      </c>
      <c r="FR1" s="8" t="str">
        <f t="shared" si="1"/>
        <v>mié</v>
      </c>
      <c r="FS1" s="8" t="str">
        <f t="shared" si="1"/>
        <v>jue</v>
      </c>
      <c r="FT1" s="8" t="str">
        <f t="shared" si="1"/>
        <v>vie</v>
      </c>
      <c r="FU1" s="8" t="str">
        <f t="shared" si="1"/>
        <v>sáb</v>
      </c>
      <c r="FV1" s="8" t="str">
        <f t="shared" si="1"/>
        <v>dom</v>
      </c>
      <c r="FW1" s="8" t="str">
        <f t="shared" si="1"/>
        <v>lun</v>
      </c>
      <c r="FX1" s="8" t="str">
        <f t="shared" si="1"/>
        <v>mar</v>
      </c>
      <c r="FY1" s="8" t="str">
        <f t="shared" si="1"/>
        <v>mié</v>
      </c>
      <c r="FZ1" s="8" t="str">
        <f t="shared" si="1"/>
        <v>jue</v>
      </c>
      <c r="GA1" s="8" t="str">
        <f t="shared" si="1"/>
        <v>vie</v>
      </c>
      <c r="GB1" s="8" t="str">
        <f t="shared" si="1"/>
        <v>sáb</v>
      </c>
      <c r="GC1" s="8" t="str">
        <f t="shared" si="1"/>
        <v>dom</v>
      </c>
      <c r="GD1" s="8" t="str">
        <f t="shared" si="1"/>
        <v>lun</v>
      </c>
      <c r="GE1" s="8" t="str">
        <f t="shared" si="1"/>
        <v>mar</v>
      </c>
      <c r="GF1" s="8" t="str">
        <f t="shared" si="1"/>
        <v>mié</v>
      </c>
      <c r="GG1" s="8" t="str">
        <f t="shared" si="1"/>
        <v>jue</v>
      </c>
      <c r="GH1" s="8" t="str">
        <f t="shared" si="1"/>
        <v>vie</v>
      </c>
      <c r="GI1" s="8" t="str">
        <f t="shared" si="1"/>
        <v>sáb</v>
      </c>
      <c r="GJ1" s="8" t="str">
        <f t="shared" si="1"/>
        <v>dom</v>
      </c>
      <c r="GK1" s="8" t="str">
        <f t="shared" si="1"/>
        <v>lun</v>
      </c>
      <c r="GL1" s="8" t="str">
        <f t="shared" si="1"/>
        <v>dom</v>
      </c>
      <c r="GM1" s="8" t="str">
        <f t="shared" si="1"/>
        <v>lun</v>
      </c>
      <c r="GN1" s="8" t="str">
        <f t="shared" si="1"/>
        <v>mar</v>
      </c>
      <c r="GO1" s="8" t="str">
        <f t="shared" si="1"/>
        <v>mié</v>
      </c>
      <c r="GP1" s="8" t="str">
        <f t="shared" si="1"/>
        <v>jue</v>
      </c>
      <c r="GQ1" s="8" t="str">
        <f t="shared" si="1"/>
        <v>vie</v>
      </c>
      <c r="GR1" s="8" t="str">
        <f t="shared" si="1"/>
        <v>sáb</v>
      </c>
      <c r="GS1" s="8" t="str">
        <f t="shared" si="1"/>
        <v>dom</v>
      </c>
      <c r="GT1" s="8" t="str">
        <f t="shared" si="1"/>
        <v>lun</v>
      </c>
      <c r="GU1" s="8" t="str">
        <f t="shared" si="1"/>
        <v>mar</v>
      </c>
      <c r="GV1" s="8" t="str">
        <f t="shared" si="1"/>
        <v>mié</v>
      </c>
      <c r="GW1" s="8" t="str">
        <f t="shared" si="1"/>
        <v>jue</v>
      </c>
      <c r="GX1" s="8" t="str">
        <f t="shared" si="1"/>
        <v>vie</v>
      </c>
      <c r="GY1" s="8" t="str">
        <f t="shared" si="1"/>
        <v>sáb</v>
      </c>
      <c r="GZ1" s="8" t="str">
        <f t="shared" si="1"/>
        <v>dom</v>
      </c>
      <c r="HA1" s="8" t="str">
        <f t="shared" si="1"/>
        <v>lun</v>
      </c>
      <c r="HB1" s="8" t="str">
        <f t="shared" si="1"/>
        <v>mar</v>
      </c>
      <c r="HC1" s="8" t="str">
        <f t="shared" si="1"/>
        <v>mié</v>
      </c>
      <c r="HD1" s="8" t="str">
        <f t="shared" si="1"/>
        <v>jue</v>
      </c>
      <c r="HE1" s="8" t="str">
        <f t="shared" si="1"/>
        <v>vie</v>
      </c>
      <c r="HF1" s="8" t="str">
        <f t="shared" si="1"/>
        <v>sáb</v>
      </c>
      <c r="HG1" s="8" t="str">
        <f t="shared" si="1"/>
        <v>dom</v>
      </c>
      <c r="HH1" s="8" t="str">
        <f t="shared" si="1"/>
        <v>lun</v>
      </c>
      <c r="HI1" s="8" t="str">
        <f t="shared" si="1"/>
        <v>mar</v>
      </c>
      <c r="HJ1" s="8" t="str">
        <f t="shared" si="1"/>
        <v>mié</v>
      </c>
      <c r="HK1" s="8" t="str">
        <f t="shared" si="1"/>
        <v>jue</v>
      </c>
      <c r="HL1" s="8" t="str">
        <f t="shared" si="1"/>
        <v>vie</v>
      </c>
      <c r="HM1" s="8" t="str">
        <f t="shared" si="1"/>
        <v>sáb</v>
      </c>
      <c r="HN1" s="8" t="str">
        <f t="shared" si="1"/>
        <v>dom</v>
      </c>
      <c r="HO1" s="8" t="str">
        <f t="shared" si="1"/>
        <v>lun</v>
      </c>
      <c r="HP1" s="8" t="str">
        <f t="shared" si="1"/>
        <v>mar</v>
      </c>
      <c r="HQ1" s="8" t="str">
        <f t="shared" si="1"/>
        <v>mié</v>
      </c>
      <c r="HR1" s="8" t="str">
        <f t="shared" si="1"/>
        <v>jue</v>
      </c>
      <c r="HS1" s="8" t="str">
        <f t="shared" si="1"/>
        <v>vie</v>
      </c>
      <c r="HT1" s="8" t="str">
        <f t="shared" si="1"/>
        <v>sáb</v>
      </c>
      <c r="HU1" s="8" t="str">
        <f t="shared" si="1"/>
        <v>dom</v>
      </c>
      <c r="HV1" s="8" t="str">
        <f t="shared" si="1"/>
        <v>lun</v>
      </c>
      <c r="HW1" s="8" t="str">
        <f t="shared" si="1"/>
        <v>mar</v>
      </c>
      <c r="HX1" s="8" t="str">
        <f t="shared" si="1"/>
        <v>mié</v>
      </c>
      <c r="HY1" s="8" t="str">
        <f t="shared" si="1"/>
        <v>jue</v>
      </c>
      <c r="HZ1" s="8" t="str">
        <f t="shared" si="1"/>
        <v>vie</v>
      </c>
      <c r="IA1" s="8" t="str">
        <f t="shared" si="1"/>
        <v>sáb</v>
      </c>
      <c r="IB1" s="8" t="str">
        <f t="shared" si="1"/>
        <v>dom</v>
      </c>
      <c r="IC1" s="8" t="str">
        <f t="shared" si="1"/>
        <v>lun</v>
      </c>
      <c r="ID1" s="8" t="str">
        <f t="shared" si="1"/>
        <v>mar</v>
      </c>
      <c r="IE1" s="8" t="str">
        <f t="shared" si="1"/>
        <v>mié</v>
      </c>
      <c r="IF1" s="8" t="str">
        <f t="shared" si="1"/>
        <v>jue</v>
      </c>
      <c r="IG1" s="8" t="str">
        <f t="shared" si="1"/>
        <v>vie</v>
      </c>
      <c r="IH1" s="8" t="str">
        <f t="shared" si="1"/>
        <v>sáb</v>
      </c>
      <c r="II1" s="8" t="str">
        <f t="shared" si="1"/>
        <v>dom</v>
      </c>
      <c r="IJ1" s="8" t="str">
        <f t="shared" si="1"/>
        <v>lun</v>
      </c>
      <c r="IK1" s="8" t="str">
        <f t="shared" si="1"/>
        <v>mar</v>
      </c>
      <c r="IL1" s="8" t="str">
        <f t="shared" si="1"/>
        <v>mié</v>
      </c>
      <c r="IM1" s="8" t="str">
        <f t="shared" si="1"/>
        <v>jue</v>
      </c>
      <c r="IN1" s="8" t="str">
        <f t="shared" si="1"/>
        <v>vie</v>
      </c>
      <c r="IO1" s="8" t="str">
        <f t="shared" si="1"/>
        <v>sáb</v>
      </c>
      <c r="IP1" s="8" t="str">
        <f t="shared" si="1"/>
        <v>dom</v>
      </c>
      <c r="IQ1" s="8" t="str">
        <f t="shared" si="1"/>
        <v>lun</v>
      </c>
      <c r="IR1" s="8" t="str">
        <f t="shared" si="1"/>
        <v>mar</v>
      </c>
      <c r="IS1" s="8" t="str">
        <f t="shared" si="1"/>
        <v>mié</v>
      </c>
      <c r="IT1" s="8" t="str">
        <f t="shared" si="1"/>
        <v>jue</v>
      </c>
      <c r="IU1" s="8" t="str">
        <f t="shared" si="1"/>
        <v>vie</v>
      </c>
      <c r="IV1" s="8" t="str">
        <f t="shared" si="1"/>
        <v>sáb</v>
      </c>
      <c r="IW1" s="8" t="str">
        <f t="shared" si="1"/>
        <v>dom</v>
      </c>
      <c r="IX1" s="8" t="str">
        <f t="shared" si="1"/>
        <v>lun</v>
      </c>
      <c r="IY1" s="8" t="str">
        <f t="shared" si="1"/>
        <v>mar</v>
      </c>
      <c r="IZ1" s="8" t="str">
        <f t="shared" si="1"/>
        <v>mié</v>
      </c>
      <c r="JA1" s="8" t="str">
        <f t="shared" si="1"/>
        <v>jue</v>
      </c>
      <c r="JB1" s="8" t="str">
        <f t="shared" si="1"/>
        <v>vie</v>
      </c>
      <c r="JC1" s="8" t="str">
        <f t="shared" si="1"/>
        <v>sáb</v>
      </c>
      <c r="JD1" s="8" t="str">
        <f t="shared" si="1"/>
        <v>dom</v>
      </c>
      <c r="JE1" s="8" t="str">
        <f t="shared" si="1"/>
        <v>lun</v>
      </c>
      <c r="JF1" s="8" t="str">
        <f t="shared" si="1"/>
        <v>mar</v>
      </c>
      <c r="JG1" s="8" t="str">
        <f t="shared" si="1"/>
        <v>mié</v>
      </c>
      <c r="JH1" s="8" t="str">
        <f t="shared" si="1"/>
        <v>jue</v>
      </c>
      <c r="JI1" s="8" t="str">
        <f t="shared" si="1"/>
        <v>vie</v>
      </c>
      <c r="JJ1" s="8" t="str">
        <f t="shared" si="1"/>
        <v>sáb</v>
      </c>
      <c r="JK1" s="8" t="str">
        <f t="shared" si="1"/>
        <v>dom</v>
      </c>
      <c r="JL1" s="8" t="str">
        <f t="shared" si="1"/>
        <v>lun</v>
      </c>
      <c r="JM1" s="8" t="str">
        <f t="shared" si="1"/>
        <v>mar</v>
      </c>
      <c r="JN1" s="8" t="str">
        <f t="shared" si="1"/>
        <v>mié</v>
      </c>
      <c r="JO1" s="8" t="str">
        <f t="shared" si="1"/>
        <v>jue</v>
      </c>
      <c r="JP1" s="8" t="str">
        <f t="shared" si="1"/>
        <v>vie</v>
      </c>
      <c r="JQ1" s="8" t="str">
        <f t="shared" si="1"/>
        <v>sáb</v>
      </c>
      <c r="JR1" s="8" t="str">
        <f t="shared" si="1"/>
        <v>dom</v>
      </c>
      <c r="JS1" s="8" t="str">
        <f t="shared" si="1"/>
        <v>lun</v>
      </c>
      <c r="JT1" s="8" t="str">
        <f t="shared" si="1"/>
        <v>mar</v>
      </c>
      <c r="JU1" s="8" t="str">
        <f t="shared" si="1"/>
        <v>mié</v>
      </c>
      <c r="JV1" s="8" t="str">
        <f t="shared" si="1"/>
        <v>jue</v>
      </c>
      <c r="JW1" s="8" t="str">
        <f t="shared" si="1"/>
        <v>vie</v>
      </c>
    </row>
    <row r="2" ht="90.0" customHeight="1">
      <c r="A2" s="9" t="s">
        <v>0</v>
      </c>
      <c r="B2" s="9" t="s">
        <v>1</v>
      </c>
      <c r="C2" s="10"/>
      <c r="D2" s="11" t="s">
        <v>2</v>
      </c>
      <c r="E2" s="12" t="s">
        <v>3</v>
      </c>
      <c r="F2" s="12" t="s">
        <v>4</v>
      </c>
      <c r="G2" s="13" t="s">
        <v>5</v>
      </c>
      <c r="H2" s="14" t="s">
        <v>6</v>
      </c>
      <c r="I2" s="13" t="s">
        <v>7</v>
      </c>
      <c r="J2" s="14" t="s">
        <v>8</v>
      </c>
      <c r="K2" s="15" t="s">
        <v>9</v>
      </c>
      <c r="L2" s="16">
        <v>45839.0</v>
      </c>
      <c r="M2" s="16">
        <v>45840.0</v>
      </c>
      <c r="N2" s="16">
        <v>45841.0</v>
      </c>
      <c r="O2" s="16">
        <v>45842.0</v>
      </c>
      <c r="P2" s="16">
        <v>45843.0</v>
      </c>
      <c r="Q2" s="16">
        <v>45844.0</v>
      </c>
      <c r="R2" s="16">
        <v>45845.0</v>
      </c>
      <c r="S2" s="16">
        <v>45846.0</v>
      </c>
      <c r="T2" s="16">
        <v>45847.0</v>
      </c>
      <c r="U2" s="16">
        <v>45848.0</v>
      </c>
      <c r="V2" s="16">
        <v>45849.0</v>
      </c>
      <c r="W2" s="16">
        <v>45850.0</v>
      </c>
      <c r="X2" s="16">
        <v>45851.0</v>
      </c>
      <c r="Y2" s="16">
        <v>45852.0</v>
      </c>
      <c r="Z2" s="16">
        <v>45853.0</v>
      </c>
      <c r="AA2" s="16">
        <v>45854.0</v>
      </c>
      <c r="AB2" s="16">
        <v>45855.0</v>
      </c>
      <c r="AC2" s="16">
        <v>45856.0</v>
      </c>
      <c r="AD2" s="16">
        <v>45857.0</v>
      </c>
      <c r="AE2" s="16">
        <v>45858.0</v>
      </c>
      <c r="AF2" s="16">
        <v>45859.0</v>
      </c>
      <c r="AG2" s="16">
        <v>45860.0</v>
      </c>
      <c r="AH2" s="16">
        <v>45861.0</v>
      </c>
      <c r="AI2" s="16">
        <v>45862.0</v>
      </c>
      <c r="AJ2" s="16">
        <v>45863.0</v>
      </c>
      <c r="AK2" s="16">
        <v>45864.0</v>
      </c>
      <c r="AL2" s="16">
        <v>45865.0</v>
      </c>
      <c r="AM2" s="16">
        <v>45866.0</v>
      </c>
      <c r="AN2" s="16">
        <v>45867.0</v>
      </c>
      <c r="AO2" s="16">
        <v>45868.0</v>
      </c>
      <c r="AP2" s="16">
        <v>45869.0</v>
      </c>
      <c r="AQ2" s="16">
        <v>45870.0</v>
      </c>
      <c r="AR2" s="16">
        <v>45871.0</v>
      </c>
      <c r="AS2" s="16">
        <v>45872.0</v>
      </c>
      <c r="AT2" s="16">
        <v>45873.0</v>
      </c>
      <c r="AU2" s="16">
        <v>45874.0</v>
      </c>
      <c r="AV2" s="16">
        <v>45875.0</v>
      </c>
      <c r="AW2" s="16">
        <v>45876.0</v>
      </c>
      <c r="AX2" s="16">
        <v>45877.0</v>
      </c>
      <c r="AY2" s="16">
        <v>45878.0</v>
      </c>
      <c r="AZ2" s="16">
        <v>45879.0</v>
      </c>
      <c r="BA2" s="16">
        <v>45880.0</v>
      </c>
      <c r="BB2" s="16">
        <v>45881.0</v>
      </c>
      <c r="BC2" s="16">
        <v>45882.0</v>
      </c>
      <c r="BD2" s="16">
        <v>45883.0</v>
      </c>
      <c r="BE2" s="16">
        <v>45884.0</v>
      </c>
      <c r="BF2" s="16">
        <v>45885.0</v>
      </c>
      <c r="BG2" s="16">
        <v>45886.0</v>
      </c>
      <c r="BH2" s="16">
        <v>45887.0</v>
      </c>
      <c r="BI2" s="16">
        <v>45888.0</v>
      </c>
      <c r="BJ2" s="16">
        <v>45889.0</v>
      </c>
      <c r="BK2" s="16">
        <v>45890.0</v>
      </c>
      <c r="BL2" s="16">
        <v>45891.0</v>
      </c>
      <c r="BM2" s="16">
        <v>45892.0</v>
      </c>
      <c r="BN2" s="16">
        <v>45893.0</v>
      </c>
      <c r="BO2" s="16">
        <v>45894.0</v>
      </c>
      <c r="BP2" s="16">
        <v>45895.0</v>
      </c>
      <c r="BQ2" s="16">
        <v>45896.0</v>
      </c>
      <c r="BR2" s="16">
        <v>45897.0</v>
      </c>
      <c r="BS2" s="16">
        <v>45898.0</v>
      </c>
      <c r="BT2" s="16">
        <v>45899.0</v>
      </c>
      <c r="BU2" s="16">
        <v>45900.0</v>
      </c>
      <c r="BV2" s="16">
        <v>45901.0</v>
      </c>
      <c r="BW2" s="16">
        <v>45902.0</v>
      </c>
      <c r="BX2" s="16">
        <v>45903.0</v>
      </c>
      <c r="BY2" s="16">
        <v>45904.0</v>
      </c>
      <c r="BZ2" s="16">
        <v>45905.0</v>
      </c>
      <c r="CA2" s="16">
        <v>45906.0</v>
      </c>
      <c r="CB2" s="16">
        <v>45907.0</v>
      </c>
      <c r="CC2" s="16">
        <v>45908.0</v>
      </c>
      <c r="CD2" s="16">
        <v>45909.0</v>
      </c>
      <c r="CE2" s="16">
        <v>45910.0</v>
      </c>
      <c r="CF2" s="16">
        <v>45911.0</v>
      </c>
      <c r="CG2" s="16">
        <v>45912.0</v>
      </c>
      <c r="CH2" s="16">
        <v>45913.0</v>
      </c>
      <c r="CI2" s="16">
        <v>45914.0</v>
      </c>
      <c r="CJ2" s="16">
        <v>45915.0</v>
      </c>
      <c r="CK2" s="16">
        <v>45916.0</v>
      </c>
      <c r="CL2" s="16">
        <v>45917.0</v>
      </c>
      <c r="CM2" s="16">
        <v>45918.0</v>
      </c>
      <c r="CN2" s="16">
        <v>45919.0</v>
      </c>
      <c r="CO2" s="16">
        <v>45920.0</v>
      </c>
      <c r="CP2" s="16">
        <v>45921.0</v>
      </c>
      <c r="CQ2" s="16">
        <v>45922.0</v>
      </c>
      <c r="CR2" s="16">
        <v>45923.0</v>
      </c>
      <c r="CS2" s="16">
        <v>45924.0</v>
      </c>
      <c r="CT2" s="16">
        <v>45925.0</v>
      </c>
      <c r="CU2" s="16">
        <v>45926.0</v>
      </c>
      <c r="CV2" s="16">
        <v>45927.0</v>
      </c>
      <c r="CW2" s="16">
        <v>45928.0</v>
      </c>
      <c r="CX2" s="16">
        <v>45929.0</v>
      </c>
      <c r="CY2" s="16">
        <v>45930.0</v>
      </c>
      <c r="CZ2" s="16">
        <v>45931.0</v>
      </c>
      <c r="DA2" s="16">
        <v>45932.0</v>
      </c>
      <c r="DB2" s="16">
        <v>45933.0</v>
      </c>
      <c r="DC2" s="16">
        <v>45934.0</v>
      </c>
      <c r="DD2" s="16">
        <v>45935.0</v>
      </c>
      <c r="DE2" s="16">
        <v>45936.0</v>
      </c>
      <c r="DF2" s="16">
        <v>45937.0</v>
      </c>
      <c r="DG2" s="16">
        <v>45938.0</v>
      </c>
      <c r="DH2" s="16">
        <v>45939.0</v>
      </c>
      <c r="DI2" s="16">
        <v>45940.0</v>
      </c>
      <c r="DJ2" s="16">
        <v>45941.0</v>
      </c>
      <c r="DK2" s="16">
        <v>45942.0</v>
      </c>
      <c r="DL2" s="16">
        <v>45943.0</v>
      </c>
      <c r="DM2" s="16">
        <v>45944.0</v>
      </c>
      <c r="DN2" s="16">
        <v>45945.0</v>
      </c>
      <c r="DO2" s="16">
        <v>45946.0</v>
      </c>
      <c r="DP2" s="16">
        <v>45947.0</v>
      </c>
      <c r="DQ2" s="16">
        <v>45948.0</v>
      </c>
      <c r="DR2" s="16">
        <v>45949.0</v>
      </c>
      <c r="DS2" s="16">
        <v>45950.0</v>
      </c>
      <c r="DT2" s="16">
        <v>45951.0</v>
      </c>
      <c r="DU2" s="16">
        <v>45952.0</v>
      </c>
      <c r="DV2" s="16">
        <v>45953.0</v>
      </c>
      <c r="DW2" s="16">
        <v>45954.0</v>
      </c>
      <c r="DX2" s="16">
        <v>45955.0</v>
      </c>
      <c r="DY2" s="16">
        <v>45956.0</v>
      </c>
      <c r="DZ2" s="16">
        <v>45957.0</v>
      </c>
      <c r="EA2" s="16">
        <v>45958.0</v>
      </c>
      <c r="EB2" s="16">
        <v>45959.0</v>
      </c>
      <c r="EC2" s="16">
        <v>45960.0</v>
      </c>
      <c r="ED2" s="16">
        <v>45961.0</v>
      </c>
      <c r="EE2" s="16">
        <v>45962.0</v>
      </c>
      <c r="EF2" s="16">
        <v>45963.0</v>
      </c>
      <c r="EG2" s="16">
        <v>45964.0</v>
      </c>
      <c r="EH2" s="16">
        <v>45965.0</v>
      </c>
      <c r="EI2" s="16">
        <v>45966.0</v>
      </c>
      <c r="EJ2" s="16">
        <v>45967.0</v>
      </c>
      <c r="EK2" s="16">
        <v>45968.0</v>
      </c>
      <c r="EL2" s="16">
        <v>45969.0</v>
      </c>
      <c r="EM2" s="16">
        <v>45970.0</v>
      </c>
      <c r="EN2" s="16">
        <v>45971.0</v>
      </c>
      <c r="EO2" s="16">
        <v>45972.0</v>
      </c>
      <c r="EP2" s="16">
        <v>45973.0</v>
      </c>
      <c r="EQ2" s="16">
        <v>45974.0</v>
      </c>
      <c r="ER2" s="16">
        <v>45975.0</v>
      </c>
      <c r="ES2" s="16">
        <v>45976.0</v>
      </c>
      <c r="ET2" s="16">
        <v>45977.0</v>
      </c>
      <c r="EU2" s="16">
        <v>45978.0</v>
      </c>
      <c r="EV2" s="16">
        <v>45979.0</v>
      </c>
      <c r="EW2" s="16">
        <v>45980.0</v>
      </c>
      <c r="EX2" s="16">
        <v>45981.0</v>
      </c>
      <c r="EY2" s="16">
        <v>45982.0</v>
      </c>
      <c r="EZ2" s="16">
        <v>45983.0</v>
      </c>
      <c r="FA2" s="16">
        <v>45984.0</v>
      </c>
      <c r="FB2" s="16">
        <v>45985.0</v>
      </c>
      <c r="FC2" s="16">
        <v>45986.0</v>
      </c>
      <c r="FD2" s="16">
        <v>45987.0</v>
      </c>
      <c r="FE2" s="16">
        <v>45988.0</v>
      </c>
      <c r="FF2" s="16">
        <v>45989.0</v>
      </c>
      <c r="FG2" s="16">
        <v>45990.0</v>
      </c>
      <c r="FH2" s="16">
        <v>45991.0</v>
      </c>
      <c r="FI2" s="16">
        <v>45992.0</v>
      </c>
      <c r="FJ2" s="16">
        <v>45993.0</v>
      </c>
      <c r="FK2" s="16">
        <v>45994.0</v>
      </c>
      <c r="FL2" s="16">
        <v>45995.0</v>
      </c>
      <c r="FM2" s="16">
        <v>45996.0</v>
      </c>
      <c r="FN2" s="16">
        <v>45997.0</v>
      </c>
      <c r="FO2" s="16">
        <v>45998.0</v>
      </c>
      <c r="FP2" s="16">
        <v>45999.0</v>
      </c>
      <c r="FQ2" s="16">
        <v>46000.0</v>
      </c>
      <c r="FR2" s="16">
        <v>46001.0</v>
      </c>
      <c r="FS2" s="16">
        <v>46002.0</v>
      </c>
      <c r="FT2" s="16">
        <v>46003.0</v>
      </c>
      <c r="FU2" s="16">
        <v>46004.0</v>
      </c>
      <c r="FV2" s="16">
        <v>46005.0</v>
      </c>
      <c r="FW2" s="16">
        <v>46006.0</v>
      </c>
      <c r="FX2" s="16">
        <v>46007.0</v>
      </c>
      <c r="FY2" s="17">
        <v>46008.0</v>
      </c>
      <c r="FZ2" s="16">
        <v>46009.0</v>
      </c>
      <c r="GA2" s="16">
        <v>46010.0</v>
      </c>
      <c r="GB2" s="16">
        <v>46011.0</v>
      </c>
      <c r="GC2" s="16">
        <v>46012.0</v>
      </c>
      <c r="GD2" s="16">
        <v>46013.0</v>
      </c>
      <c r="GE2" s="16">
        <v>46014.0</v>
      </c>
      <c r="GF2" s="18">
        <v>46015.0</v>
      </c>
      <c r="GG2" s="16">
        <v>46016.0</v>
      </c>
      <c r="GH2" s="16">
        <v>46017.0</v>
      </c>
      <c r="GI2" s="16">
        <v>46018.0</v>
      </c>
      <c r="GJ2" s="16">
        <v>46019.0</v>
      </c>
      <c r="GK2" s="16">
        <v>46020.0</v>
      </c>
      <c r="GL2" s="19">
        <v>46054.0</v>
      </c>
      <c r="GM2" s="19">
        <v>46055.0</v>
      </c>
      <c r="GN2" s="19">
        <v>46056.0</v>
      </c>
      <c r="GO2" s="19">
        <v>46057.0</v>
      </c>
      <c r="GP2" s="19">
        <v>46058.0</v>
      </c>
      <c r="GQ2" s="19">
        <v>46059.0</v>
      </c>
      <c r="GR2" s="19">
        <v>46060.0</v>
      </c>
      <c r="GS2" s="19">
        <v>46061.0</v>
      </c>
      <c r="GT2" s="19">
        <v>46062.0</v>
      </c>
      <c r="GU2" s="19">
        <v>46063.0</v>
      </c>
      <c r="GV2" s="19">
        <v>46064.0</v>
      </c>
      <c r="GW2" s="19">
        <v>46065.0</v>
      </c>
      <c r="GX2" s="19">
        <v>46066.0</v>
      </c>
      <c r="GY2" s="19">
        <v>46067.0</v>
      </c>
      <c r="GZ2" s="19">
        <v>46068.0</v>
      </c>
      <c r="HA2" s="19">
        <v>46069.0</v>
      </c>
      <c r="HB2" s="19">
        <v>46070.0</v>
      </c>
      <c r="HC2" s="19">
        <v>46071.0</v>
      </c>
      <c r="HD2" s="19">
        <v>46072.0</v>
      </c>
      <c r="HE2" s="19">
        <v>46073.0</v>
      </c>
      <c r="HF2" s="19">
        <v>46074.0</v>
      </c>
      <c r="HG2" s="19">
        <v>46075.0</v>
      </c>
      <c r="HH2" s="19">
        <v>46076.0</v>
      </c>
      <c r="HI2" s="19">
        <v>46077.0</v>
      </c>
      <c r="HJ2" s="19">
        <v>46078.0</v>
      </c>
      <c r="HK2" s="19">
        <v>46079.0</v>
      </c>
      <c r="HL2" s="19">
        <v>46080.0</v>
      </c>
      <c r="HM2" s="19">
        <v>46081.0</v>
      </c>
      <c r="HN2" s="19">
        <v>46082.0</v>
      </c>
      <c r="HO2" s="19">
        <v>46083.0</v>
      </c>
      <c r="HP2" s="19">
        <v>46084.0</v>
      </c>
      <c r="HQ2" s="19">
        <v>46085.0</v>
      </c>
      <c r="HR2" s="19">
        <v>46086.0</v>
      </c>
      <c r="HS2" s="19">
        <v>46087.0</v>
      </c>
      <c r="HT2" s="19">
        <v>46088.0</v>
      </c>
      <c r="HU2" s="19">
        <v>46089.0</v>
      </c>
      <c r="HV2" s="19">
        <v>46090.0</v>
      </c>
      <c r="HW2" s="19">
        <v>46091.0</v>
      </c>
      <c r="HX2" s="19">
        <v>46092.0</v>
      </c>
      <c r="HY2" s="19">
        <v>46093.0</v>
      </c>
      <c r="HZ2" s="19">
        <v>46094.0</v>
      </c>
      <c r="IA2" s="19">
        <v>46095.0</v>
      </c>
      <c r="IB2" s="19">
        <v>46096.0</v>
      </c>
      <c r="IC2" s="19">
        <v>46097.0</v>
      </c>
      <c r="ID2" s="19">
        <v>46098.0</v>
      </c>
      <c r="IE2" s="19">
        <v>46099.0</v>
      </c>
      <c r="IF2" s="19">
        <v>46100.0</v>
      </c>
      <c r="IG2" s="19">
        <v>46101.0</v>
      </c>
      <c r="IH2" s="19">
        <v>46102.0</v>
      </c>
      <c r="II2" s="19">
        <v>46103.0</v>
      </c>
      <c r="IJ2" s="19">
        <v>46104.0</v>
      </c>
      <c r="IK2" s="19">
        <v>46105.0</v>
      </c>
      <c r="IL2" s="19">
        <v>46106.0</v>
      </c>
      <c r="IM2" s="19">
        <v>46107.0</v>
      </c>
      <c r="IN2" s="19">
        <v>46108.0</v>
      </c>
      <c r="IO2" s="19">
        <v>46109.0</v>
      </c>
      <c r="IP2" s="19">
        <v>46110.0</v>
      </c>
      <c r="IQ2" s="19">
        <v>46111.0</v>
      </c>
      <c r="IR2" s="19">
        <v>46112.0</v>
      </c>
      <c r="IS2" s="19">
        <v>46113.0</v>
      </c>
      <c r="IT2" s="19">
        <v>46114.0</v>
      </c>
      <c r="IU2" s="19">
        <v>46115.0</v>
      </c>
      <c r="IV2" s="19">
        <v>46116.0</v>
      </c>
      <c r="IW2" s="19">
        <v>46117.0</v>
      </c>
      <c r="IX2" s="19">
        <v>46118.0</v>
      </c>
      <c r="IY2" s="19">
        <v>46119.0</v>
      </c>
      <c r="IZ2" s="19">
        <v>46120.0</v>
      </c>
      <c r="JA2" s="19">
        <v>46121.0</v>
      </c>
      <c r="JB2" s="19">
        <v>46122.0</v>
      </c>
      <c r="JC2" s="19">
        <v>46123.0</v>
      </c>
      <c r="JD2" s="19">
        <v>46124.0</v>
      </c>
      <c r="JE2" s="19">
        <v>46125.0</v>
      </c>
      <c r="JF2" s="19">
        <v>46126.0</v>
      </c>
      <c r="JG2" s="19">
        <v>46127.0</v>
      </c>
      <c r="JH2" s="19">
        <v>46128.0</v>
      </c>
      <c r="JI2" s="19">
        <v>46129.0</v>
      </c>
      <c r="JJ2" s="19">
        <v>46130.0</v>
      </c>
      <c r="JK2" s="19">
        <v>46131.0</v>
      </c>
      <c r="JL2" s="19">
        <v>46132.0</v>
      </c>
      <c r="JM2" s="19">
        <v>46133.0</v>
      </c>
      <c r="JN2" s="19">
        <v>46134.0</v>
      </c>
      <c r="JO2" s="19">
        <v>46135.0</v>
      </c>
      <c r="JP2" s="19">
        <v>46136.0</v>
      </c>
      <c r="JQ2" s="19">
        <v>46137.0</v>
      </c>
      <c r="JR2" s="19">
        <v>46138.0</v>
      </c>
      <c r="JS2" s="19">
        <v>46139.0</v>
      </c>
      <c r="JT2" s="19">
        <v>46140.0</v>
      </c>
      <c r="JU2" s="19">
        <v>46141.0</v>
      </c>
      <c r="JV2" s="19">
        <v>46142.0</v>
      </c>
      <c r="JW2" s="19">
        <v>46143.0</v>
      </c>
    </row>
    <row r="3" ht="12.0" customHeight="1">
      <c r="B3" s="20"/>
      <c r="C3" s="20"/>
      <c r="D3" s="21" t="s">
        <v>10</v>
      </c>
      <c r="E3" s="22"/>
      <c r="F3" s="23">
        <v>3.884732698E9</v>
      </c>
      <c r="G3" s="24" t="s">
        <v>11</v>
      </c>
      <c r="H3" s="25" t="s">
        <v>12</v>
      </c>
      <c r="I3" s="23" t="s">
        <v>13</v>
      </c>
      <c r="J3" s="23" t="s">
        <v>14</v>
      </c>
      <c r="K3" s="23" t="s">
        <v>15</v>
      </c>
      <c r="L3" s="26" t="s">
        <v>16</v>
      </c>
      <c r="M3" s="26">
        <v>1.0</v>
      </c>
      <c r="N3" s="26">
        <v>1.0</v>
      </c>
      <c r="O3" s="26">
        <v>1.0</v>
      </c>
      <c r="P3" s="26">
        <v>1.0</v>
      </c>
      <c r="Q3" s="26">
        <v>1.0</v>
      </c>
      <c r="R3" s="26">
        <v>1.0</v>
      </c>
      <c r="S3" s="26">
        <v>1.0</v>
      </c>
      <c r="T3" s="26">
        <v>1.0</v>
      </c>
      <c r="U3" s="26">
        <v>1.0</v>
      </c>
      <c r="V3" s="26">
        <v>1.0</v>
      </c>
      <c r="W3" s="26">
        <v>1.0</v>
      </c>
      <c r="X3" s="26">
        <v>1.0</v>
      </c>
      <c r="Y3" s="26">
        <v>1.0</v>
      </c>
      <c r="Z3" s="26" t="s">
        <v>17</v>
      </c>
      <c r="AA3" s="26" t="s">
        <v>18</v>
      </c>
      <c r="AB3" s="26" t="s">
        <v>18</v>
      </c>
      <c r="AC3" s="26" t="s">
        <v>18</v>
      </c>
      <c r="AD3" s="27" t="s">
        <v>18</v>
      </c>
      <c r="AE3" s="27" t="s">
        <v>18</v>
      </c>
      <c r="AF3" s="27" t="s">
        <v>18</v>
      </c>
      <c r="AG3" s="26" t="s">
        <v>16</v>
      </c>
      <c r="AH3" s="26">
        <v>1.0</v>
      </c>
      <c r="AI3" s="26">
        <v>1.0</v>
      </c>
      <c r="AJ3" s="26">
        <v>1.0</v>
      </c>
      <c r="AK3" s="26">
        <v>1.0</v>
      </c>
      <c r="AL3" s="26">
        <v>1.0</v>
      </c>
      <c r="AM3" s="26">
        <v>1.0</v>
      </c>
      <c r="AN3" s="26">
        <v>1.0</v>
      </c>
      <c r="AO3" s="26">
        <v>1.0</v>
      </c>
      <c r="AP3" s="26">
        <v>1.0</v>
      </c>
      <c r="AQ3" s="26">
        <v>1.0</v>
      </c>
      <c r="AR3" s="26">
        <v>1.0</v>
      </c>
      <c r="AS3" s="26">
        <v>1.0</v>
      </c>
      <c r="AT3" s="26">
        <v>1.0</v>
      </c>
      <c r="AU3" s="26" t="s">
        <v>17</v>
      </c>
      <c r="AV3" s="26" t="s">
        <v>18</v>
      </c>
      <c r="AW3" s="26" t="s">
        <v>18</v>
      </c>
      <c r="AX3" s="26" t="s">
        <v>18</v>
      </c>
      <c r="AY3" s="27" t="s">
        <v>18</v>
      </c>
      <c r="AZ3" s="27" t="s">
        <v>18</v>
      </c>
      <c r="BA3" s="27" t="s">
        <v>18</v>
      </c>
      <c r="BB3" s="26" t="s">
        <v>16</v>
      </c>
      <c r="BC3" s="26">
        <v>1.0</v>
      </c>
      <c r="BD3" s="26">
        <v>1.0</v>
      </c>
      <c r="BE3" s="26">
        <v>1.0</v>
      </c>
      <c r="BF3" s="26">
        <v>1.0</v>
      </c>
      <c r="BG3" s="26">
        <v>1.0</v>
      </c>
      <c r="BH3" s="26">
        <v>1.0</v>
      </c>
      <c r="BI3" s="26">
        <v>1.0</v>
      </c>
      <c r="BJ3" s="26">
        <v>1.0</v>
      </c>
      <c r="BK3" s="26">
        <v>1.0</v>
      </c>
      <c r="BL3" s="26">
        <v>1.0</v>
      </c>
      <c r="BM3" s="26">
        <v>1.0</v>
      </c>
      <c r="BN3" s="26">
        <v>1.0</v>
      </c>
      <c r="BO3" s="26">
        <v>1.0</v>
      </c>
      <c r="BP3" s="26" t="s">
        <v>17</v>
      </c>
      <c r="BQ3" s="26" t="s">
        <v>18</v>
      </c>
      <c r="BR3" s="26" t="s">
        <v>18</v>
      </c>
      <c r="BS3" s="26" t="s">
        <v>18</v>
      </c>
      <c r="BT3" s="27" t="s">
        <v>18</v>
      </c>
      <c r="BU3" s="27" t="s">
        <v>18</v>
      </c>
      <c r="BV3" s="27" t="s">
        <v>18</v>
      </c>
      <c r="BW3" s="26" t="s">
        <v>16</v>
      </c>
      <c r="BX3" s="26">
        <v>1.0</v>
      </c>
      <c r="BY3" s="26">
        <v>1.0</v>
      </c>
      <c r="BZ3" s="26">
        <v>1.0</v>
      </c>
      <c r="CA3" s="26">
        <v>1.0</v>
      </c>
      <c r="CB3" s="26">
        <v>1.0</v>
      </c>
      <c r="CC3" s="26">
        <v>1.0</v>
      </c>
      <c r="CD3" s="26">
        <v>1.0</v>
      </c>
      <c r="CE3" s="26">
        <v>1.0</v>
      </c>
      <c r="CF3" s="26">
        <v>1.0</v>
      </c>
      <c r="CG3" s="26">
        <v>1.0</v>
      </c>
      <c r="CH3" s="26">
        <v>1.0</v>
      </c>
      <c r="CI3" s="26">
        <v>1.0</v>
      </c>
      <c r="CJ3" s="26">
        <v>1.0</v>
      </c>
      <c r="CK3" s="26" t="s">
        <v>17</v>
      </c>
      <c r="CL3" s="26" t="s">
        <v>18</v>
      </c>
      <c r="CM3" s="26" t="s">
        <v>18</v>
      </c>
      <c r="CN3" s="26" t="s">
        <v>18</v>
      </c>
      <c r="CO3" s="27" t="s">
        <v>18</v>
      </c>
      <c r="CP3" s="27" t="s">
        <v>18</v>
      </c>
      <c r="CQ3" s="27" t="s">
        <v>18</v>
      </c>
      <c r="CR3" s="26" t="s">
        <v>16</v>
      </c>
      <c r="CS3" s="26">
        <v>1.0</v>
      </c>
      <c r="CT3" s="26">
        <v>1.0</v>
      </c>
      <c r="CU3" s="26">
        <v>1.0</v>
      </c>
      <c r="CV3" s="26">
        <v>1.0</v>
      </c>
      <c r="CW3" s="26">
        <v>1.0</v>
      </c>
      <c r="CX3" s="26">
        <v>1.0</v>
      </c>
      <c r="CY3" s="26">
        <v>1.0</v>
      </c>
      <c r="CZ3" s="26">
        <v>1.0</v>
      </c>
      <c r="DA3" s="26">
        <v>1.0</v>
      </c>
      <c r="DB3" s="26">
        <v>1.0</v>
      </c>
      <c r="DC3" s="26">
        <v>1.0</v>
      </c>
      <c r="DD3" s="26">
        <v>1.0</v>
      </c>
      <c r="DE3" s="26">
        <v>1.0</v>
      </c>
      <c r="DF3" s="26" t="s">
        <v>17</v>
      </c>
      <c r="DG3" s="26" t="s">
        <v>18</v>
      </c>
      <c r="DH3" s="26" t="s">
        <v>18</v>
      </c>
      <c r="DI3" s="26" t="s">
        <v>18</v>
      </c>
      <c r="DJ3" s="27" t="s">
        <v>18</v>
      </c>
      <c r="DK3" s="27" t="s">
        <v>18</v>
      </c>
      <c r="DL3" s="27" t="s">
        <v>18</v>
      </c>
      <c r="DM3" s="26" t="s">
        <v>16</v>
      </c>
      <c r="DN3" s="26">
        <v>1.0</v>
      </c>
      <c r="DO3" s="26">
        <v>1.0</v>
      </c>
      <c r="DP3" s="26">
        <v>1.0</v>
      </c>
      <c r="DQ3" s="26">
        <v>1.0</v>
      </c>
      <c r="DR3" s="26">
        <v>1.0</v>
      </c>
      <c r="DS3" s="26">
        <v>1.0</v>
      </c>
      <c r="DT3" s="26">
        <v>1.0</v>
      </c>
      <c r="DU3" s="26">
        <v>1.0</v>
      </c>
      <c r="DV3" s="26">
        <v>1.0</v>
      </c>
      <c r="DW3" s="26">
        <v>1.0</v>
      </c>
      <c r="DX3" s="26">
        <v>1.0</v>
      </c>
      <c r="DY3" s="26">
        <v>1.0</v>
      </c>
      <c r="DZ3" s="26">
        <v>1.0</v>
      </c>
      <c r="EA3" s="26" t="s">
        <v>17</v>
      </c>
      <c r="EB3" s="26" t="s">
        <v>18</v>
      </c>
      <c r="EC3" s="26" t="s">
        <v>18</v>
      </c>
      <c r="ED3" s="26" t="s">
        <v>18</v>
      </c>
      <c r="EE3" s="27" t="s">
        <v>18</v>
      </c>
      <c r="EF3" s="27" t="s">
        <v>18</v>
      </c>
      <c r="EG3" s="27" t="s">
        <v>18</v>
      </c>
      <c r="EH3" s="26" t="s">
        <v>16</v>
      </c>
      <c r="EI3" s="26">
        <v>1.0</v>
      </c>
      <c r="EJ3" s="26">
        <v>1.0</v>
      </c>
      <c r="EK3" s="26">
        <v>1.0</v>
      </c>
      <c r="EL3" s="26">
        <v>1.0</v>
      </c>
      <c r="EM3" s="26">
        <v>1.0</v>
      </c>
      <c r="EN3" s="26">
        <v>1.0</v>
      </c>
      <c r="EO3" s="26">
        <v>1.0</v>
      </c>
      <c r="EP3" s="26">
        <v>1.0</v>
      </c>
      <c r="EQ3" s="26">
        <v>1.0</v>
      </c>
      <c r="ER3" s="26">
        <v>1.0</v>
      </c>
      <c r="ES3" s="26">
        <v>1.0</v>
      </c>
      <c r="ET3" s="26">
        <v>1.0</v>
      </c>
      <c r="EU3" s="26">
        <v>1.0</v>
      </c>
      <c r="EV3" s="26" t="s">
        <v>17</v>
      </c>
      <c r="EW3" s="26" t="s">
        <v>18</v>
      </c>
      <c r="EX3" s="26" t="s">
        <v>18</v>
      </c>
      <c r="EY3" s="26" t="s">
        <v>18</v>
      </c>
      <c r="EZ3" s="27" t="s">
        <v>18</v>
      </c>
      <c r="FA3" s="27" t="s">
        <v>18</v>
      </c>
      <c r="FB3" s="27" t="s">
        <v>18</v>
      </c>
      <c r="FC3" s="26" t="s">
        <v>16</v>
      </c>
      <c r="FD3" s="26">
        <v>1.0</v>
      </c>
      <c r="FE3" s="26">
        <v>1.0</v>
      </c>
      <c r="FF3" s="26">
        <v>1.0</v>
      </c>
      <c r="FG3" s="26">
        <v>1.0</v>
      </c>
      <c r="FH3" s="26">
        <v>1.0</v>
      </c>
      <c r="FI3" s="26">
        <v>1.0</v>
      </c>
      <c r="FJ3" s="26">
        <v>1.0</v>
      </c>
      <c r="FK3" s="26">
        <v>1.0</v>
      </c>
      <c r="FL3" s="26">
        <v>1.0</v>
      </c>
      <c r="FM3" s="26">
        <v>1.0</v>
      </c>
      <c r="FN3" s="26">
        <v>1.0</v>
      </c>
      <c r="FO3" s="26">
        <v>1.0</v>
      </c>
      <c r="FP3" s="26">
        <v>1.0</v>
      </c>
      <c r="FQ3" s="26" t="s">
        <v>17</v>
      </c>
      <c r="FR3" s="26" t="s">
        <v>18</v>
      </c>
      <c r="FS3" s="26" t="s">
        <v>18</v>
      </c>
      <c r="FT3" s="26" t="s">
        <v>18</v>
      </c>
      <c r="FU3" s="27" t="s">
        <v>18</v>
      </c>
      <c r="FV3" s="27" t="s">
        <v>18</v>
      </c>
      <c r="FW3" s="27" t="s">
        <v>18</v>
      </c>
      <c r="FX3" s="26" t="s">
        <v>16</v>
      </c>
      <c r="FY3" s="26">
        <v>1.0</v>
      </c>
      <c r="FZ3" s="26">
        <v>1.0</v>
      </c>
      <c r="GA3" s="26">
        <v>1.0</v>
      </c>
      <c r="GB3" s="26">
        <v>1.0</v>
      </c>
      <c r="GC3" s="26">
        <v>1.0</v>
      </c>
      <c r="GD3" s="26">
        <v>1.0</v>
      </c>
      <c r="GE3" s="26">
        <v>1.0</v>
      </c>
      <c r="GF3" s="26">
        <v>1.0</v>
      </c>
      <c r="GG3" s="26">
        <v>1.0</v>
      </c>
      <c r="GH3" s="26">
        <v>1.0</v>
      </c>
      <c r="GI3" s="26">
        <v>1.0</v>
      </c>
      <c r="GJ3" s="26">
        <v>1.0</v>
      </c>
      <c r="GK3" s="26">
        <v>1.0</v>
      </c>
      <c r="GL3" s="26" t="s">
        <v>17</v>
      </c>
      <c r="GM3" s="26" t="s">
        <v>18</v>
      </c>
      <c r="GN3" s="26" t="s">
        <v>18</v>
      </c>
      <c r="GO3" s="26" t="s">
        <v>18</v>
      </c>
      <c r="GP3" s="27" t="s">
        <v>18</v>
      </c>
      <c r="GQ3" s="27" t="s">
        <v>18</v>
      </c>
      <c r="GR3" s="27" t="s">
        <v>18</v>
      </c>
      <c r="GS3" s="27" t="s">
        <v>18</v>
      </c>
      <c r="GT3" s="26" t="s">
        <v>18</v>
      </c>
      <c r="GU3" s="26" t="s">
        <v>16</v>
      </c>
      <c r="GV3" s="26">
        <v>1.0</v>
      </c>
      <c r="GW3" s="26">
        <v>1.0</v>
      </c>
      <c r="GX3" s="26">
        <v>1.0</v>
      </c>
      <c r="GY3" s="26">
        <v>1.0</v>
      </c>
      <c r="GZ3" s="26">
        <v>1.0</v>
      </c>
      <c r="HA3" s="26">
        <v>1.0</v>
      </c>
      <c r="HB3" s="26">
        <v>1.0</v>
      </c>
      <c r="HC3" s="26">
        <v>1.0</v>
      </c>
      <c r="HD3" s="26">
        <v>1.0</v>
      </c>
      <c r="HE3" s="26">
        <v>1.0</v>
      </c>
      <c r="HF3" s="26">
        <v>1.0</v>
      </c>
      <c r="HG3" s="26">
        <v>1.0</v>
      </c>
      <c r="HH3" s="26">
        <v>1.0</v>
      </c>
      <c r="HI3" s="26" t="s">
        <v>17</v>
      </c>
      <c r="HJ3" s="26" t="s">
        <v>18</v>
      </c>
      <c r="HK3" s="26" t="s">
        <v>18</v>
      </c>
      <c r="HL3" s="26" t="s">
        <v>18</v>
      </c>
      <c r="HM3" s="27" t="s">
        <v>18</v>
      </c>
      <c r="HN3" s="27" t="s">
        <v>18</v>
      </c>
      <c r="HO3" s="27" t="s">
        <v>18</v>
      </c>
      <c r="HP3" s="26" t="s">
        <v>16</v>
      </c>
      <c r="HQ3" s="26">
        <v>1.0</v>
      </c>
      <c r="HR3" s="26">
        <v>1.0</v>
      </c>
      <c r="HS3" s="26">
        <v>1.0</v>
      </c>
      <c r="HT3" s="26">
        <v>1.0</v>
      </c>
      <c r="HU3" s="26">
        <v>1.0</v>
      </c>
      <c r="HV3" s="26">
        <v>1.0</v>
      </c>
      <c r="HW3" s="26">
        <v>1.0</v>
      </c>
      <c r="HX3" s="26">
        <v>1.0</v>
      </c>
      <c r="HY3" s="26">
        <v>1.0</v>
      </c>
      <c r="HZ3" s="26">
        <v>1.0</v>
      </c>
      <c r="IA3" s="26">
        <v>1.0</v>
      </c>
      <c r="IB3" s="26">
        <v>1.0</v>
      </c>
      <c r="IC3" s="26">
        <v>1.0</v>
      </c>
      <c r="ID3" s="26" t="s">
        <v>17</v>
      </c>
      <c r="IE3" s="26" t="s">
        <v>18</v>
      </c>
      <c r="IF3" s="26" t="s">
        <v>18</v>
      </c>
      <c r="IG3" s="26" t="s">
        <v>18</v>
      </c>
      <c r="IH3" s="27" t="s">
        <v>18</v>
      </c>
      <c r="II3" s="27" t="s">
        <v>18</v>
      </c>
      <c r="IJ3" s="27" t="s">
        <v>18</v>
      </c>
      <c r="IK3" s="26" t="s">
        <v>16</v>
      </c>
      <c r="IL3" s="26">
        <v>1.0</v>
      </c>
      <c r="IM3" s="26">
        <v>1.0</v>
      </c>
      <c r="IN3" s="26">
        <v>1.0</v>
      </c>
      <c r="IO3" s="26">
        <v>1.0</v>
      </c>
      <c r="IP3" s="26">
        <v>1.0</v>
      </c>
      <c r="IQ3" s="26">
        <v>1.0</v>
      </c>
      <c r="IR3" s="26">
        <v>1.0</v>
      </c>
      <c r="IS3" s="26">
        <v>1.0</v>
      </c>
      <c r="IT3" s="26">
        <v>1.0</v>
      </c>
      <c r="IU3" s="26">
        <v>1.0</v>
      </c>
      <c r="IV3" s="26">
        <v>1.0</v>
      </c>
      <c r="IW3" s="26">
        <v>1.0</v>
      </c>
      <c r="IX3" s="26">
        <v>1.0</v>
      </c>
      <c r="IY3" s="26" t="s">
        <v>17</v>
      </c>
      <c r="IZ3" s="26" t="s">
        <v>18</v>
      </c>
      <c r="JA3" s="26" t="s">
        <v>18</v>
      </c>
      <c r="JB3" s="26" t="s">
        <v>18</v>
      </c>
      <c r="JC3" s="27" t="s">
        <v>18</v>
      </c>
      <c r="JD3" s="27" t="s">
        <v>18</v>
      </c>
      <c r="JE3" s="27" t="s">
        <v>18</v>
      </c>
      <c r="JF3" s="26" t="s">
        <v>16</v>
      </c>
      <c r="JG3" s="26">
        <v>1.0</v>
      </c>
      <c r="JH3" s="26">
        <v>1.0</v>
      </c>
      <c r="JI3" s="26">
        <v>1.0</v>
      </c>
      <c r="JJ3" s="26">
        <v>1.0</v>
      </c>
      <c r="JK3" s="26">
        <v>1.0</v>
      </c>
      <c r="JL3" s="26">
        <v>1.0</v>
      </c>
      <c r="JM3" s="26">
        <v>1.0</v>
      </c>
      <c r="JN3" s="26">
        <v>1.0</v>
      </c>
      <c r="JO3" s="26">
        <v>1.0</v>
      </c>
      <c r="JP3" s="26">
        <v>1.0</v>
      </c>
      <c r="JQ3" s="26">
        <v>1.0</v>
      </c>
      <c r="JR3" s="26">
        <v>1.0</v>
      </c>
      <c r="JS3" s="26">
        <v>1.0</v>
      </c>
      <c r="JT3" s="26" t="s">
        <v>17</v>
      </c>
      <c r="JU3" s="26" t="s">
        <v>18</v>
      </c>
      <c r="JV3" s="26" t="s">
        <v>18</v>
      </c>
      <c r="JW3" s="26" t="s">
        <v>18</v>
      </c>
    </row>
    <row r="4" ht="13.5" customHeight="1">
      <c r="A4" s="20"/>
      <c r="B4" s="20"/>
      <c r="C4" s="20"/>
      <c r="D4" s="21" t="s">
        <v>19</v>
      </c>
      <c r="E4" s="22"/>
      <c r="F4" s="23">
        <v>3.875839948E9</v>
      </c>
      <c r="G4" s="24" t="s">
        <v>11</v>
      </c>
      <c r="H4" s="25" t="s">
        <v>12</v>
      </c>
      <c r="I4" s="23" t="s">
        <v>13</v>
      </c>
      <c r="J4" s="23" t="s">
        <v>14</v>
      </c>
      <c r="K4" s="23" t="s">
        <v>20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8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7"/>
      <c r="FE4" s="27"/>
      <c r="FF4" s="27"/>
      <c r="FG4" s="27"/>
      <c r="FH4" s="27"/>
      <c r="FI4" s="27">
        <v>1.0</v>
      </c>
      <c r="FJ4" s="26">
        <v>1.0</v>
      </c>
      <c r="FK4" s="26">
        <v>1.0</v>
      </c>
      <c r="FL4" s="26">
        <v>1.0</v>
      </c>
      <c r="FM4" s="26">
        <v>1.0</v>
      </c>
      <c r="FN4" s="26">
        <v>1.0</v>
      </c>
      <c r="FO4" s="26">
        <v>1.0</v>
      </c>
      <c r="FP4" s="26">
        <v>1.0</v>
      </c>
      <c r="FQ4" s="26" t="s">
        <v>17</v>
      </c>
      <c r="FR4" s="26" t="s">
        <v>18</v>
      </c>
      <c r="FS4" s="26" t="s">
        <v>18</v>
      </c>
      <c r="FT4" s="26" t="s">
        <v>18</v>
      </c>
      <c r="FU4" s="26" t="s">
        <v>18</v>
      </c>
      <c r="FV4" s="26" t="s">
        <v>18</v>
      </c>
      <c r="FW4" s="26" t="s">
        <v>18</v>
      </c>
      <c r="FX4" s="26" t="s">
        <v>16</v>
      </c>
      <c r="FY4" s="27">
        <v>1.0</v>
      </c>
      <c r="FZ4" s="27">
        <v>1.0</v>
      </c>
      <c r="GA4" s="27">
        <v>1.0</v>
      </c>
      <c r="GB4" s="27">
        <v>1.0</v>
      </c>
      <c r="GC4" s="27">
        <v>1.0</v>
      </c>
      <c r="GD4" s="26">
        <v>1.0</v>
      </c>
      <c r="GE4" s="26">
        <v>1.0</v>
      </c>
      <c r="GF4" s="26">
        <v>1.0</v>
      </c>
      <c r="GG4" s="26">
        <v>1.0</v>
      </c>
      <c r="GH4" s="26">
        <v>1.0</v>
      </c>
      <c r="GI4" s="26">
        <v>1.0</v>
      </c>
      <c r="GJ4" s="26" t="s">
        <v>17</v>
      </c>
      <c r="GK4" s="29" t="s">
        <v>18</v>
      </c>
      <c r="GL4" s="26">
        <v>1.0</v>
      </c>
      <c r="GM4" s="26">
        <v>1.0</v>
      </c>
      <c r="GN4" s="26">
        <v>1.0</v>
      </c>
      <c r="GO4" s="26">
        <v>1.0</v>
      </c>
      <c r="GP4" s="26">
        <v>1.0</v>
      </c>
      <c r="GQ4" s="26">
        <v>1.0</v>
      </c>
      <c r="GR4" s="26">
        <v>1.0</v>
      </c>
      <c r="GS4" s="26">
        <v>1.0</v>
      </c>
      <c r="GT4" s="26">
        <v>1.0</v>
      </c>
      <c r="GU4" s="26">
        <v>1.0</v>
      </c>
      <c r="GV4" s="26">
        <v>1.0</v>
      </c>
      <c r="GW4" s="26">
        <v>1.0</v>
      </c>
      <c r="GX4" s="26" t="s">
        <v>17</v>
      </c>
      <c r="GY4" s="26" t="s">
        <v>18</v>
      </c>
      <c r="GZ4" s="26" t="s">
        <v>18</v>
      </c>
      <c r="HA4" s="26" t="s">
        <v>18</v>
      </c>
      <c r="HB4" s="26" t="s">
        <v>18</v>
      </c>
      <c r="HC4" s="26" t="s">
        <v>18</v>
      </c>
      <c r="HD4" s="26" t="s">
        <v>18</v>
      </c>
      <c r="HE4" s="26" t="s">
        <v>16</v>
      </c>
      <c r="HF4" s="26">
        <v>1.0</v>
      </c>
      <c r="HG4" s="26">
        <v>1.0</v>
      </c>
      <c r="HH4" s="26">
        <v>1.0</v>
      </c>
      <c r="HI4" s="26">
        <v>1.0</v>
      </c>
      <c r="HJ4" s="26">
        <v>1.0</v>
      </c>
      <c r="HK4" s="26">
        <v>1.0</v>
      </c>
      <c r="HL4" s="26">
        <v>1.0</v>
      </c>
      <c r="HM4" s="26">
        <v>1.0</v>
      </c>
      <c r="HN4" s="26">
        <v>1.0</v>
      </c>
      <c r="HO4" s="26">
        <v>1.0</v>
      </c>
      <c r="HP4" s="26">
        <v>1.0</v>
      </c>
      <c r="HQ4" s="26">
        <v>1.0</v>
      </c>
      <c r="HR4" s="26">
        <v>1.0</v>
      </c>
      <c r="HS4" s="26" t="s">
        <v>17</v>
      </c>
      <c r="HT4" s="26" t="s">
        <v>18</v>
      </c>
      <c r="HU4" s="26" t="s">
        <v>18</v>
      </c>
      <c r="HV4" s="26" t="s">
        <v>18</v>
      </c>
      <c r="HW4" s="27" t="s">
        <v>18</v>
      </c>
      <c r="HX4" s="27" t="s">
        <v>18</v>
      </c>
      <c r="HY4" s="27" t="s">
        <v>18</v>
      </c>
      <c r="HZ4" s="26" t="s">
        <v>16</v>
      </c>
      <c r="IA4" s="26">
        <v>1.0</v>
      </c>
      <c r="IB4" s="26">
        <v>1.0</v>
      </c>
      <c r="IC4" s="26">
        <v>1.0</v>
      </c>
      <c r="ID4" s="26">
        <v>1.0</v>
      </c>
      <c r="IE4" s="26">
        <v>1.0</v>
      </c>
      <c r="IF4" s="26">
        <v>1.0</v>
      </c>
      <c r="IG4" s="26">
        <v>1.0</v>
      </c>
      <c r="IH4" s="26">
        <v>1.0</v>
      </c>
      <c r="II4" s="26">
        <v>1.0</v>
      </c>
      <c r="IJ4" s="26">
        <v>1.0</v>
      </c>
      <c r="IK4" s="26">
        <v>1.0</v>
      </c>
      <c r="IL4" s="26">
        <v>1.0</v>
      </c>
      <c r="IM4" s="26">
        <v>1.0</v>
      </c>
      <c r="IN4" s="26" t="s">
        <v>17</v>
      </c>
      <c r="IO4" s="26" t="s">
        <v>18</v>
      </c>
      <c r="IP4" s="26" t="s">
        <v>18</v>
      </c>
      <c r="IQ4" s="26" t="s">
        <v>18</v>
      </c>
      <c r="IR4" s="27" t="s">
        <v>18</v>
      </c>
      <c r="IS4" s="27" t="s">
        <v>18</v>
      </c>
      <c r="IT4" s="27" t="s">
        <v>18</v>
      </c>
      <c r="IU4" s="26" t="s">
        <v>16</v>
      </c>
      <c r="IV4" s="26">
        <v>1.0</v>
      </c>
      <c r="IW4" s="26">
        <v>1.0</v>
      </c>
      <c r="IX4" s="26">
        <v>1.0</v>
      </c>
      <c r="IY4" s="26">
        <v>1.0</v>
      </c>
      <c r="IZ4" s="26">
        <v>1.0</v>
      </c>
      <c r="JA4" s="26">
        <v>1.0</v>
      </c>
      <c r="JB4" s="26">
        <v>1.0</v>
      </c>
      <c r="JC4" s="26">
        <v>1.0</v>
      </c>
      <c r="JD4" s="26">
        <v>1.0</v>
      </c>
      <c r="JE4" s="26">
        <v>1.0</v>
      </c>
      <c r="JF4" s="26">
        <v>1.0</v>
      </c>
      <c r="JG4" s="26">
        <v>1.0</v>
      </c>
      <c r="JH4" s="26">
        <v>1.0</v>
      </c>
      <c r="JI4" s="26" t="s">
        <v>17</v>
      </c>
      <c r="JJ4" s="26" t="s">
        <v>18</v>
      </c>
      <c r="JK4" s="26" t="s">
        <v>18</v>
      </c>
      <c r="JL4" s="26" t="s">
        <v>18</v>
      </c>
      <c r="JM4" s="27" t="s">
        <v>18</v>
      </c>
      <c r="JN4" s="27" t="s">
        <v>18</v>
      </c>
      <c r="JO4" s="27" t="s">
        <v>18</v>
      </c>
      <c r="JP4" s="26" t="s">
        <v>16</v>
      </c>
      <c r="JQ4" s="26">
        <v>1.0</v>
      </c>
      <c r="JR4" s="26">
        <v>1.0</v>
      </c>
      <c r="JS4" s="26">
        <v>1.0</v>
      </c>
      <c r="JT4" s="26">
        <v>1.0</v>
      </c>
      <c r="JU4" s="26">
        <v>1.0</v>
      </c>
      <c r="JV4" s="26">
        <v>1.0</v>
      </c>
      <c r="JW4" s="26">
        <v>1.0</v>
      </c>
    </row>
    <row r="5" ht="13.5" customHeight="1">
      <c r="A5" s="20"/>
      <c r="B5" s="20"/>
      <c r="C5" s="20"/>
      <c r="D5" s="30" t="s">
        <v>21</v>
      </c>
      <c r="E5" s="22"/>
      <c r="F5" s="23">
        <v>3.875179866E9</v>
      </c>
      <c r="G5" s="24" t="s">
        <v>11</v>
      </c>
      <c r="H5" s="25" t="s">
        <v>22</v>
      </c>
      <c r="I5" s="23" t="s">
        <v>13</v>
      </c>
      <c r="J5" s="23" t="s">
        <v>14</v>
      </c>
      <c r="K5" s="23" t="s">
        <v>20</v>
      </c>
      <c r="L5" s="31"/>
      <c r="M5" s="32"/>
      <c r="N5" s="31"/>
      <c r="O5" s="33"/>
      <c r="P5" s="31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8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6"/>
      <c r="EI5" s="26"/>
      <c r="EJ5" s="26"/>
      <c r="EK5" s="26"/>
      <c r="EL5" s="26"/>
      <c r="EM5" s="26"/>
      <c r="EN5" s="26"/>
      <c r="EO5" s="27"/>
      <c r="EP5" s="27"/>
      <c r="EQ5" s="27"/>
      <c r="ER5" s="27"/>
      <c r="ES5" s="27"/>
      <c r="ET5" s="27"/>
      <c r="EU5" s="26"/>
      <c r="EV5" s="26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6">
        <v>1.0</v>
      </c>
      <c r="FJ5" s="26" t="s">
        <v>17</v>
      </c>
      <c r="FK5" s="27" t="s">
        <v>18</v>
      </c>
      <c r="FL5" s="27" t="s">
        <v>18</v>
      </c>
      <c r="FM5" s="27" t="s">
        <v>18</v>
      </c>
      <c r="FN5" s="27" t="s">
        <v>18</v>
      </c>
      <c r="FO5" s="27" t="s">
        <v>18</v>
      </c>
      <c r="FP5" s="26" t="s">
        <v>18</v>
      </c>
      <c r="FQ5" s="26" t="s">
        <v>16</v>
      </c>
      <c r="FR5" s="27">
        <v>1.0</v>
      </c>
      <c r="FS5" s="27">
        <v>1.0</v>
      </c>
      <c r="FT5" s="27">
        <v>1.0</v>
      </c>
      <c r="FU5" s="27">
        <v>1.0</v>
      </c>
      <c r="FV5" s="27">
        <v>1.0</v>
      </c>
      <c r="FW5" s="27">
        <v>1.0</v>
      </c>
      <c r="FX5" s="27">
        <v>1.0</v>
      </c>
      <c r="FY5" s="27">
        <v>1.0</v>
      </c>
      <c r="FZ5" s="27">
        <v>1.0</v>
      </c>
      <c r="GA5" s="27" t="s">
        <v>17</v>
      </c>
      <c r="GB5" s="27" t="s">
        <v>18</v>
      </c>
      <c r="GC5" s="27" t="s">
        <v>18</v>
      </c>
      <c r="GD5" s="26" t="s">
        <v>18</v>
      </c>
      <c r="GE5" s="26" t="s">
        <v>18</v>
      </c>
      <c r="GF5" s="26" t="s">
        <v>18</v>
      </c>
      <c r="GG5" s="26" t="s">
        <v>18</v>
      </c>
      <c r="GH5" s="26" t="s">
        <v>18</v>
      </c>
      <c r="GI5" s="26" t="s">
        <v>18</v>
      </c>
      <c r="GJ5" s="26" t="s">
        <v>18</v>
      </c>
      <c r="GK5" s="29" t="s">
        <v>16</v>
      </c>
      <c r="GL5" s="26" t="s">
        <v>18</v>
      </c>
      <c r="GM5" s="26" t="s">
        <v>18</v>
      </c>
      <c r="GN5" s="26" t="s">
        <v>16</v>
      </c>
      <c r="GO5" s="26">
        <v>1.0</v>
      </c>
      <c r="GP5" s="26">
        <v>1.0</v>
      </c>
      <c r="GQ5" s="26">
        <v>1.0</v>
      </c>
      <c r="GR5" s="26">
        <v>1.0</v>
      </c>
      <c r="GS5" s="26">
        <v>1.0</v>
      </c>
      <c r="GT5" s="26">
        <v>1.0</v>
      </c>
      <c r="GU5" s="26">
        <v>1.0</v>
      </c>
      <c r="GV5" s="26">
        <v>1.0</v>
      </c>
      <c r="GW5" s="26">
        <v>1.0</v>
      </c>
      <c r="GX5" s="26">
        <v>1.0</v>
      </c>
      <c r="GY5" s="26">
        <v>1.0</v>
      </c>
      <c r="GZ5" s="26">
        <v>1.0</v>
      </c>
      <c r="HA5" s="26">
        <v>1.0</v>
      </c>
      <c r="HB5" s="26" t="s">
        <v>17</v>
      </c>
      <c r="HC5" s="26" t="s">
        <v>18</v>
      </c>
      <c r="HD5" s="26" t="s">
        <v>18</v>
      </c>
      <c r="HE5" s="26" t="s">
        <v>18</v>
      </c>
      <c r="HF5" s="27" t="s">
        <v>18</v>
      </c>
      <c r="HG5" s="27" t="s">
        <v>18</v>
      </c>
      <c r="HH5" s="27" t="s">
        <v>18</v>
      </c>
      <c r="HI5" s="26" t="s">
        <v>16</v>
      </c>
      <c r="HJ5" s="26">
        <v>1.0</v>
      </c>
      <c r="HK5" s="26">
        <v>1.0</v>
      </c>
      <c r="HL5" s="26">
        <v>1.0</v>
      </c>
      <c r="HM5" s="26">
        <v>1.0</v>
      </c>
      <c r="HN5" s="26">
        <v>1.0</v>
      </c>
      <c r="HO5" s="26">
        <v>1.0</v>
      </c>
      <c r="HP5" s="26">
        <v>1.0</v>
      </c>
      <c r="HQ5" s="26">
        <v>1.0</v>
      </c>
      <c r="HR5" s="26">
        <v>1.0</v>
      </c>
      <c r="HS5" s="26">
        <v>1.0</v>
      </c>
      <c r="HT5" s="26">
        <v>1.0</v>
      </c>
      <c r="HU5" s="26">
        <v>1.0</v>
      </c>
      <c r="HV5" s="26">
        <v>1.0</v>
      </c>
      <c r="HW5" s="26" t="s">
        <v>17</v>
      </c>
      <c r="HX5" s="27" t="s">
        <v>18</v>
      </c>
      <c r="HY5" s="27" t="s">
        <v>18</v>
      </c>
      <c r="HZ5" s="27" t="s">
        <v>18</v>
      </c>
      <c r="IA5" s="27" t="s">
        <v>18</v>
      </c>
      <c r="IB5" s="27" t="s">
        <v>18</v>
      </c>
      <c r="IC5" s="27" t="s">
        <v>18</v>
      </c>
      <c r="ID5" s="26" t="s">
        <v>16</v>
      </c>
      <c r="IE5" s="26">
        <v>1.0</v>
      </c>
      <c r="IF5" s="26">
        <v>1.0</v>
      </c>
      <c r="IG5" s="26">
        <v>1.0</v>
      </c>
      <c r="IH5" s="26">
        <v>1.0</v>
      </c>
      <c r="II5" s="26">
        <v>1.0</v>
      </c>
      <c r="IJ5" s="26">
        <v>1.0</v>
      </c>
      <c r="IK5" s="26">
        <v>1.0</v>
      </c>
      <c r="IL5" s="26">
        <v>1.0</v>
      </c>
      <c r="IM5" s="26">
        <v>1.0</v>
      </c>
      <c r="IN5" s="26">
        <v>1.0</v>
      </c>
      <c r="IO5" s="26">
        <v>1.0</v>
      </c>
      <c r="IP5" s="26">
        <v>1.0</v>
      </c>
      <c r="IQ5" s="26">
        <v>1.0</v>
      </c>
      <c r="IR5" s="26" t="s">
        <v>17</v>
      </c>
      <c r="IS5" s="26" t="s">
        <v>18</v>
      </c>
      <c r="IT5" s="26" t="s">
        <v>18</v>
      </c>
      <c r="IU5" s="26" t="s">
        <v>18</v>
      </c>
      <c r="IV5" s="26" t="s">
        <v>18</v>
      </c>
      <c r="IW5" s="26" t="s">
        <v>18</v>
      </c>
      <c r="IX5" s="26" t="s">
        <v>18</v>
      </c>
      <c r="IY5" s="26" t="s">
        <v>16</v>
      </c>
      <c r="IZ5" s="26">
        <v>1.0</v>
      </c>
      <c r="JA5" s="26">
        <v>1.0</v>
      </c>
      <c r="JB5" s="26">
        <v>1.0</v>
      </c>
      <c r="JC5" s="26">
        <v>1.0</v>
      </c>
      <c r="JD5" s="26">
        <v>1.0</v>
      </c>
      <c r="JE5" s="26">
        <v>1.0</v>
      </c>
      <c r="JF5" s="26">
        <v>1.0</v>
      </c>
      <c r="JG5" s="26">
        <v>1.0</v>
      </c>
      <c r="JH5" s="26">
        <v>1.0</v>
      </c>
      <c r="JI5" s="26">
        <v>1.0</v>
      </c>
      <c r="JJ5" s="26">
        <v>1.0</v>
      </c>
      <c r="JK5" s="26">
        <v>1.0</v>
      </c>
      <c r="JL5" s="26">
        <v>1.0</v>
      </c>
      <c r="JM5" s="26" t="s">
        <v>17</v>
      </c>
      <c r="JN5" s="26" t="s">
        <v>18</v>
      </c>
      <c r="JO5" s="26" t="s">
        <v>18</v>
      </c>
      <c r="JP5" s="26" t="s">
        <v>18</v>
      </c>
      <c r="JQ5" s="26" t="s">
        <v>18</v>
      </c>
      <c r="JR5" s="26" t="s">
        <v>18</v>
      </c>
      <c r="JS5" s="26" t="s">
        <v>18</v>
      </c>
      <c r="JT5" s="26" t="s">
        <v>16</v>
      </c>
      <c r="JU5" s="26">
        <v>1.0</v>
      </c>
      <c r="JV5" s="26">
        <v>1.0</v>
      </c>
      <c r="JW5" s="26">
        <v>1.0</v>
      </c>
    </row>
    <row r="6" ht="13.5" customHeight="1">
      <c r="A6" s="20"/>
      <c r="B6" s="20"/>
      <c r="C6" s="20"/>
      <c r="D6" s="30" t="s">
        <v>23</v>
      </c>
      <c r="E6" s="22"/>
      <c r="F6" s="23"/>
      <c r="G6" s="24"/>
      <c r="H6" s="25"/>
      <c r="I6" s="23"/>
      <c r="J6" s="23"/>
      <c r="K6" s="23"/>
      <c r="L6" s="31"/>
      <c r="M6" s="32"/>
      <c r="N6" s="31"/>
      <c r="O6" s="33"/>
      <c r="P6" s="31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8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6"/>
      <c r="EI6" s="26"/>
      <c r="EJ6" s="26"/>
      <c r="EK6" s="26"/>
      <c r="EL6" s="26"/>
      <c r="EM6" s="26"/>
      <c r="EN6" s="26"/>
      <c r="EO6" s="27"/>
      <c r="EP6" s="27"/>
      <c r="EQ6" s="27"/>
      <c r="ER6" s="27"/>
      <c r="ES6" s="27"/>
      <c r="ET6" s="27"/>
      <c r="EU6" s="26"/>
      <c r="EV6" s="26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6"/>
      <c r="FJ6" s="26"/>
      <c r="FK6" s="27"/>
      <c r="FL6" s="27"/>
      <c r="FM6" s="27"/>
      <c r="FN6" s="27"/>
      <c r="FO6" s="27"/>
      <c r="FP6" s="26"/>
      <c r="FQ6" s="26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6"/>
      <c r="GE6" s="26"/>
      <c r="GF6" s="26"/>
      <c r="GG6" s="26"/>
      <c r="GH6" s="26"/>
      <c r="GI6" s="26"/>
      <c r="GJ6" s="26"/>
      <c r="GK6" s="29"/>
      <c r="GL6" s="26"/>
      <c r="GM6" s="26"/>
      <c r="GN6" s="26"/>
      <c r="GO6" s="26"/>
      <c r="GP6" s="26"/>
      <c r="GQ6" s="26"/>
      <c r="GR6" s="26"/>
      <c r="GS6" s="26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7"/>
      <c r="HG6" s="27"/>
      <c r="HH6" s="27"/>
      <c r="HI6" s="26"/>
      <c r="HJ6" s="26"/>
      <c r="HK6" s="26"/>
      <c r="HL6" s="26"/>
      <c r="HM6" s="26"/>
      <c r="HN6" s="26"/>
      <c r="HO6" s="26"/>
      <c r="HP6" s="26" t="s">
        <v>16</v>
      </c>
      <c r="HQ6" s="26">
        <v>1.0</v>
      </c>
      <c r="HR6" s="26">
        <v>1.0</v>
      </c>
      <c r="HS6" s="26">
        <v>1.0</v>
      </c>
      <c r="HT6" s="26">
        <v>1.0</v>
      </c>
      <c r="HU6" s="26">
        <v>1.0</v>
      </c>
      <c r="HV6" s="26">
        <v>1.0</v>
      </c>
      <c r="HW6" s="26">
        <v>1.0</v>
      </c>
      <c r="HX6" s="26">
        <v>1.0</v>
      </c>
      <c r="HY6" s="26">
        <v>1.0</v>
      </c>
      <c r="HZ6" s="26">
        <v>1.0</v>
      </c>
      <c r="IA6" s="26">
        <v>1.0</v>
      </c>
      <c r="IB6" s="26">
        <v>1.0</v>
      </c>
      <c r="IC6" s="26">
        <v>1.0</v>
      </c>
      <c r="ID6" s="26" t="s">
        <v>17</v>
      </c>
      <c r="IE6" s="27" t="s">
        <v>18</v>
      </c>
      <c r="IF6" s="27" t="s">
        <v>18</v>
      </c>
      <c r="IG6" s="27" t="s">
        <v>18</v>
      </c>
      <c r="IH6" s="27" t="s">
        <v>18</v>
      </c>
      <c r="II6" s="27" t="s">
        <v>18</v>
      </c>
      <c r="IJ6" s="27" t="s">
        <v>18</v>
      </c>
      <c r="IK6" s="26" t="s">
        <v>16</v>
      </c>
      <c r="IL6" s="26">
        <v>1.0</v>
      </c>
      <c r="IM6" s="26">
        <v>1.0</v>
      </c>
      <c r="IN6" s="26">
        <v>1.0</v>
      </c>
      <c r="IO6" s="26">
        <v>1.0</v>
      </c>
      <c r="IP6" s="26">
        <v>1.0</v>
      </c>
      <c r="IQ6" s="26">
        <v>1.0</v>
      </c>
      <c r="IR6" s="26">
        <v>1.0</v>
      </c>
      <c r="IS6" s="26">
        <v>1.0</v>
      </c>
      <c r="IT6" s="26">
        <v>1.0</v>
      </c>
      <c r="IU6" s="26">
        <v>1.0</v>
      </c>
      <c r="IV6" s="26">
        <v>1.0</v>
      </c>
      <c r="IW6" s="26">
        <v>1.0</v>
      </c>
      <c r="IX6" s="26">
        <v>1.0</v>
      </c>
      <c r="IY6" s="26" t="s">
        <v>17</v>
      </c>
      <c r="IZ6" s="27" t="s">
        <v>18</v>
      </c>
      <c r="JA6" s="27" t="s">
        <v>18</v>
      </c>
      <c r="JB6" s="27" t="s">
        <v>18</v>
      </c>
      <c r="JC6" s="27" t="s">
        <v>18</v>
      </c>
      <c r="JD6" s="27" t="s">
        <v>18</v>
      </c>
      <c r="JE6" s="27" t="s">
        <v>18</v>
      </c>
      <c r="JF6" s="26" t="s">
        <v>16</v>
      </c>
      <c r="JG6" s="26">
        <v>1.0</v>
      </c>
      <c r="JH6" s="26">
        <v>1.0</v>
      </c>
      <c r="JI6" s="26">
        <v>1.0</v>
      </c>
      <c r="JJ6" s="26">
        <v>1.0</v>
      </c>
      <c r="JK6" s="26">
        <v>1.0</v>
      </c>
      <c r="JL6" s="26">
        <v>1.0</v>
      </c>
      <c r="JM6" s="26">
        <v>1.0</v>
      </c>
      <c r="JN6" s="26">
        <v>1.0</v>
      </c>
      <c r="JO6" s="26">
        <v>1.0</v>
      </c>
      <c r="JP6" s="26">
        <v>1.0</v>
      </c>
      <c r="JQ6" s="26">
        <v>1.0</v>
      </c>
      <c r="JR6" s="26">
        <v>1.0</v>
      </c>
      <c r="JS6" s="26">
        <v>1.0</v>
      </c>
      <c r="JT6" s="26" t="s">
        <v>17</v>
      </c>
      <c r="JU6" s="26" t="s">
        <v>18</v>
      </c>
      <c r="JV6" s="26" t="s">
        <v>18</v>
      </c>
      <c r="JW6" s="26" t="s">
        <v>18</v>
      </c>
    </row>
    <row r="7" ht="13.5" customHeight="1">
      <c r="A7" s="20"/>
      <c r="B7" s="20"/>
      <c r="C7" s="20"/>
      <c r="D7" s="30" t="s">
        <v>24</v>
      </c>
      <c r="E7" s="22"/>
      <c r="F7" s="23">
        <v>3.816583522E9</v>
      </c>
      <c r="G7" s="24" t="s">
        <v>11</v>
      </c>
      <c r="H7" s="25" t="s">
        <v>22</v>
      </c>
      <c r="I7" s="23" t="s">
        <v>13</v>
      </c>
      <c r="J7" s="23" t="s">
        <v>14</v>
      </c>
      <c r="K7" s="23" t="s">
        <v>25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6"/>
      <c r="CS7" s="26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8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6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 t="s">
        <v>18</v>
      </c>
      <c r="FJ7" s="27" t="s">
        <v>18</v>
      </c>
      <c r="FK7" s="26" t="s">
        <v>16</v>
      </c>
      <c r="FL7" s="27">
        <v>1.0</v>
      </c>
      <c r="FM7" s="27">
        <v>1.0</v>
      </c>
      <c r="FN7" s="27">
        <v>1.0</v>
      </c>
      <c r="FO7" s="27">
        <v>1.0</v>
      </c>
      <c r="FP7" s="27">
        <v>1.0</v>
      </c>
      <c r="FQ7" s="27">
        <v>1.0</v>
      </c>
      <c r="FR7" s="27">
        <v>1.0</v>
      </c>
      <c r="FS7" s="27">
        <v>1.0</v>
      </c>
      <c r="FT7" s="27">
        <v>1.0</v>
      </c>
      <c r="FU7" s="27">
        <v>1.0</v>
      </c>
      <c r="FV7" s="27">
        <v>1.0</v>
      </c>
      <c r="FW7" s="27">
        <v>1.0</v>
      </c>
      <c r="FX7" s="27">
        <v>1.0</v>
      </c>
      <c r="FY7" s="27" t="s">
        <v>17</v>
      </c>
      <c r="FZ7" s="27" t="s">
        <v>18</v>
      </c>
      <c r="GA7" s="27" t="s">
        <v>18</v>
      </c>
      <c r="GB7" s="27" t="s">
        <v>18</v>
      </c>
      <c r="GC7" s="27" t="s">
        <v>18</v>
      </c>
      <c r="GD7" s="27" t="s">
        <v>18</v>
      </c>
      <c r="GE7" s="27" t="s">
        <v>18</v>
      </c>
      <c r="GF7" s="26" t="s">
        <v>18</v>
      </c>
      <c r="GG7" s="26" t="s">
        <v>18</v>
      </c>
      <c r="GH7" s="26" t="s">
        <v>18</v>
      </c>
      <c r="GI7" s="26" t="s">
        <v>18</v>
      </c>
      <c r="GJ7" s="26" t="s">
        <v>18</v>
      </c>
      <c r="GK7" s="29" t="s">
        <v>16</v>
      </c>
      <c r="GL7" s="26">
        <v>1.0</v>
      </c>
      <c r="GM7" s="26">
        <v>1.0</v>
      </c>
      <c r="GN7" s="26">
        <v>1.0</v>
      </c>
      <c r="GO7" s="26">
        <v>1.0</v>
      </c>
      <c r="GP7" s="26">
        <v>1.0</v>
      </c>
      <c r="GQ7" s="26">
        <v>1.0</v>
      </c>
      <c r="GR7" s="26">
        <v>1.0</v>
      </c>
      <c r="GS7" s="26">
        <v>1.0</v>
      </c>
      <c r="GT7" s="26">
        <v>1.0</v>
      </c>
      <c r="GU7" s="26">
        <v>1.0</v>
      </c>
      <c r="GV7" s="26" t="s">
        <v>17</v>
      </c>
      <c r="GW7" s="26" t="s">
        <v>18</v>
      </c>
      <c r="GX7" s="26" t="s">
        <v>18</v>
      </c>
      <c r="GY7" s="26" t="s">
        <v>18</v>
      </c>
      <c r="GZ7" s="26" t="s">
        <v>18</v>
      </c>
      <c r="HA7" s="26" t="s">
        <v>18</v>
      </c>
      <c r="HB7" s="26" t="s">
        <v>18</v>
      </c>
      <c r="HC7" s="26" t="s">
        <v>16</v>
      </c>
      <c r="HD7" s="26">
        <v>1.0</v>
      </c>
      <c r="HE7" s="26">
        <v>1.0</v>
      </c>
      <c r="HF7" s="26">
        <v>1.0</v>
      </c>
      <c r="HG7" s="26">
        <v>1.0</v>
      </c>
      <c r="HH7" s="26">
        <v>1.0</v>
      </c>
      <c r="HI7" s="26">
        <v>1.0</v>
      </c>
      <c r="HJ7" s="26">
        <v>1.0</v>
      </c>
      <c r="HK7" s="26">
        <v>1.0</v>
      </c>
      <c r="HL7" s="26">
        <v>1.0</v>
      </c>
      <c r="HM7" s="26">
        <v>1.0</v>
      </c>
      <c r="HN7" s="26">
        <v>1.0</v>
      </c>
      <c r="HO7" s="26">
        <v>1.0</v>
      </c>
      <c r="HP7" s="26" t="s">
        <v>17</v>
      </c>
      <c r="HQ7" s="26" t="s">
        <v>18</v>
      </c>
      <c r="HR7" s="26" t="s">
        <v>18</v>
      </c>
      <c r="HS7" s="26" t="s">
        <v>18</v>
      </c>
      <c r="HT7" s="27" t="s">
        <v>18</v>
      </c>
      <c r="HU7" s="27" t="s">
        <v>18</v>
      </c>
      <c r="HV7" s="27" t="s">
        <v>18</v>
      </c>
      <c r="HW7" s="26" t="s">
        <v>16</v>
      </c>
      <c r="HX7" s="26">
        <v>1.0</v>
      </c>
      <c r="HY7" s="26">
        <v>1.0</v>
      </c>
      <c r="HZ7" s="26">
        <v>1.0</v>
      </c>
      <c r="IA7" s="26">
        <v>1.0</v>
      </c>
      <c r="IB7" s="26">
        <v>1.0</v>
      </c>
      <c r="IC7" s="26">
        <v>1.0</v>
      </c>
      <c r="ID7" s="26">
        <v>1.0</v>
      </c>
      <c r="IE7" s="26">
        <v>1.0</v>
      </c>
      <c r="IF7" s="26">
        <v>1.0</v>
      </c>
      <c r="IG7" s="26">
        <v>1.0</v>
      </c>
      <c r="IH7" s="26">
        <v>1.0</v>
      </c>
      <c r="II7" s="26">
        <v>1.0</v>
      </c>
      <c r="IJ7" s="26">
        <v>1.0</v>
      </c>
      <c r="IK7" s="26" t="s">
        <v>17</v>
      </c>
      <c r="IL7" s="27" t="s">
        <v>18</v>
      </c>
      <c r="IM7" s="27" t="s">
        <v>18</v>
      </c>
      <c r="IN7" s="27" t="s">
        <v>18</v>
      </c>
      <c r="IO7" s="27" t="s">
        <v>18</v>
      </c>
      <c r="IP7" s="27" t="s">
        <v>18</v>
      </c>
      <c r="IQ7" s="27" t="s">
        <v>18</v>
      </c>
      <c r="IR7" s="26" t="s">
        <v>16</v>
      </c>
      <c r="IS7" s="26">
        <v>1.0</v>
      </c>
      <c r="IT7" s="26">
        <v>1.0</v>
      </c>
      <c r="IU7" s="26">
        <v>1.0</v>
      </c>
      <c r="IV7" s="26">
        <v>1.0</v>
      </c>
      <c r="IW7" s="26">
        <v>1.0</v>
      </c>
      <c r="IX7" s="26">
        <v>1.0</v>
      </c>
      <c r="IY7" s="26">
        <v>1.0</v>
      </c>
      <c r="IZ7" s="26">
        <v>1.0</v>
      </c>
      <c r="JA7" s="26">
        <v>1.0</v>
      </c>
      <c r="JB7" s="26">
        <v>1.0</v>
      </c>
      <c r="JC7" s="26">
        <v>1.0</v>
      </c>
      <c r="JD7" s="26">
        <v>1.0</v>
      </c>
      <c r="JE7" s="26">
        <v>1.0</v>
      </c>
      <c r="JF7" s="26" t="s">
        <v>17</v>
      </c>
      <c r="JG7" s="27" t="s">
        <v>18</v>
      </c>
      <c r="JH7" s="27" t="s">
        <v>18</v>
      </c>
      <c r="JI7" s="27" t="s">
        <v>18</v>
      </c>
      <c r="JJ7" s="27" t="s">
        <v>18</v>
      </c>
      <c r="JK7" s="27" t="s">
        <v>18</v>
      </c>
      <c r="JL7" s="27" t="s">
        <v>18</v>
      </c>
      <c r="JM7" s="26" t="s">
        <v>16</v>
      </c>
      <c r="JN7" s="26">
        <v>1.0</v>
      </c>
      <c r="JO7" s="26">
        <v>1.0</v>
      </c>
      <c r="JP7" s="26">
        <v>1.0</v>
      </c>
      <c r="JQ7" s="26">
        <v>1.0</v>
      </c>
      <c r="JR7" s="26">
        <v>1.0</v>
      </c>
      <c r="JS7" s="26">
        <v>1.0</v>
      </c>
      <c r="JT7" s="26">
        <v>1.0</v>
      </c>
      <c r="JU7" s="26">
        <v>1.0</v>
      </c>
      <c r="JV7" s="26">
        <v>1.0</v>
      </c>
      <c r="JW7" s="26">
        <v>1.0</v>
      </c>
    </row>
    <row r="8" ht="13.5" customHeight="1">
      <c r="C8" s="20"/>
      <c r="D8" s="34" t="s">
        <v>26</v>
      </c>
      <c r="E8" s="22"/>
      <c r="F8" s="23">
        <v>3.885877561E9</v>
      </c>
      <c r="G8" s="24" t="s">
        <v>11</v>
      </c>
      <c r="H8" s="25" t="s">
        <v>22</v>
      </c>
      <c r="I8" s="23" t="s">
        <v>13</v>
      </c>
      <c r="J8" s="23" t="s">
        <v>14</v>
      </c>
      <c r="K8" s="23" t="s">
        <v>15</v>
      </c>
      <c r="L8" s="31"/>
      <c r="M8" s="32"/>
      <c r="N8" s="33"/>
      <c r="O8" s="31"/>
      <c r="P8" s="31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6"/>
      <c r="DN8" s="26"/>
      <c r="DO8" s="26"/>
      <c r="DP8" s="26"/>
      <c r="DQ8" s="26"/>
      <c r="DR8" s="26"/>
      <c r="DS8" s="26"/>
      <c r="DT8" s="26"/>
      <c r="DU8" s="27"/>
      <c r="DV8" s="27"/>
      <c r="DW8" s="27"/>
      <c r="DX8" s="27"/>
      <c r="DY8" s="27"/>
      <c r="DZ8" s="27"/>
      <c r="EA8" s="27"/>
      <c r="EB8" s="27"/>
      <c r="EC8" s="27"/>
      <c r="ED8" s="26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 t="s">
        <v>18</v>
      </c>
      <c r="FJ8" s="27" t="s">
        <v>16</v>
      </c>
      <c r="FK8" s="27">
        <v>1.0</v>
      </c>
      <c r="FL8" s="27">
        <v>1.0</v>
      </c>
      <c r="FM8" s="27">
        <v>1.0</v>
      </c>
      <c r="FN8" s="27">
        <v>1.0</v>
      </c>
      <c r="FO8" s="27">
        <v>1.0</v>
      </c>
      <c r="FP8" s="27">
        <v>1.0</v>
      </c>
      <c r="FQ8" s="27">
        <v>1.0</v>
      </c>
      <c r="FR8" s="27">
        <v>1.0</v>
      </c>
      <c r="FS8" s="27">
        <v>1.0</v>
      </c>
      <c r="FT8" s="26">
        <v>1.0</v>
      </c>
      <c r="FU8" s="26">
        <v>1.0</v>
      </c>
      <c r="FV8" s="26">
        <v>1.0</v>
      </c>
      <c r="FW8" s="26">
        <v>1.0</v>
      </c>
      <c r="FX8" s="26" t="s">
        <v>17</v>
      </c>
      <c r="FY8" s="26" t="s">
        <v>18</v>
      </c>
      <c r="FZ8" s="27" t="s">
        <v>18</v>
      </c>
      <c r="GA8" s="26" t="s">
        <v>16</v>
      </c>
      <c r="GB8" s="26">
        <v>1.0</v>
      </c>
      <c r="GC8" s="26">
        <v>1.0</v>
      </c>
      <c r="GD8" s="26">
        <v>1.0</v>
      </c>
      <c r="GE8" s="26">
        <v>1.0</v>
      </c>
      <c r="GF8" s="27">
        <v>1.0</v>
      </c>
      <c r="GG8" s="27">
        <v>1.0</v>
      </c>
      <c r="GH8" s="27">
        <v>1.0</v>
      </c>
      <c r="GI8" s="26">
        <v>1.0</v>
      </c>
      <c r="GJ8" s="26">
        <v>1.0</v>
      </c>
      <c r="GK8" s="29" t="s">
        <v>17</v>
      </c>
      <c r="GL8" s="26">
        <v>1.0</v>
      </c>
      <c r="GM8" s="26">
        <v>1.0</v>
      </c>
      <c r="GN8" s="26" t="s">
        <v>17</v>
      </c>
      <c r="GO8" s="26" t="s">
        <v>18</v>
      </c>
      <c r="GP8" s="26" t="s">
        <v>18</v>
      </c>
      <c r="GQ8" s="26" t="s">
        <v>18</v>
      </c>
      <c r="GR8" s="26" t="s">
        <v>18</v>
      </c>
      <c r="GS8" s="26" t="s">
        <v>18</v>
      </c>
      <c r="GT8" s="26" t="s">
        <v>18</v>
      </c>
      <c r="GU8" s="27" t="s">
        <v>16</v>
      </c>
      <c r="GV8" s="27">
        <v>1.0</v>
      </c>
      <c r="GW8" s="27">
        <v>1.0</v>
      </c>
      <c r="GX8" s="27">
        <v>1.0</v>
      </c>
      <c r="GY8" s="27">
        <v>1.0</v>
      </c>
      <c r="GZ8" s="27">
        <v>1.0</v>
      </c>
      <c r="HA8" s="27">
        <v>1.0</v>
      </c>
      <c r="HB8" s="27">
        <v>1.0</v>
      </c>
      <c r="HC8" s="27">
        <v>1.0</v>
      </c>
      <c r="HD8" s="27">
        <v>1.0</v>
      </c>
      <c r="HE8" s="26" t="s">
        <v>17</v>
      </c>
      <c r="HF8" s="26" t="s">
        <v>18</v>
      </c>
      <c r="HG8" s="26" t="s">
        <v>18</v>
      </c>
      <c r="HH8" s="26" t="s">
        <v>18</v>
      </c>
      <c r="HI8" s="26" t="s">
        <v>18</v>
      </c>
      <c r="HJ8" s="26" t="s">
        <v>18</v>
      </c>
      <c r="HK8" s="26" t="s">
        <v>18</v>
      </c>
      <c r="HL8" s="27" t="s">
        <v>16</v>
      </c>
      <c r="HM8" s="26">
        <v>1.0</v>
      </c>
      <c r="HN8" s="26">
        <v>1.0</v>
      </c>
      <c r="HO8" s="26">
        <v>1.0</v>
      </c>
      <c r="HP8" s="26">
        <v>1.0</v>
      </c>
      <c r="HQ8" s="26">
        <v>1.0</v>
      </c>
      <c r="HR8" s="26">
        <v>1.0</v>
      </c>
      <c r="HS8" s="26">
        <v>1.0</v>
      </c>
      <c r="HT8" s="26">
        <v>1.0</v>
      </c>
      <c r="HU8" s="26">
        <v>1.0</v>
      </c>
      <c r="HV8" s="27">
        <v>1.0</v>
      </c>
      <c r="HW8" s="26" t="s">
        <v>17</v>
      </c>
      <c r="HX8" s="26" t="s">
        <v>18</v>
      </c>
      <c r="HY8" s="26" t="s">
        <v>18</v>
      </c>
      <c r="HZ8" s="26" t="s">
        <v>18</v>
      </c>
      <c r="IA8" s="26" t="s">
        <v>18</v>
      </c>
      <c r="IB8" s="26" t="s">
        <v>18</v>
      </c>
      <c r="IC8" s="26" t="s">
        <v>18</v>
      </c>
      <c r="ID8" s="26" t="s">
        <v>16</v>
      </c>
      <c r="IE8" s="26">
        <v>1.0</v>
      </c>
      <c r="IF8" s="26">
        <v>1.0</v>
      </c>
      <c r="IG8" s="26">
        <v>1.0</v>
      </c>
      <c r="IH8" s="26">
        <v>1.0</v>
      </c>
      <c r="II8" s="26">
        <v>1.0</v>
      </c>
      <c r="IJ8" s="26">
        <v>1.0</v>
      </c>
      <c r="IK8" s="26">
        <v>1.0</v>
      </c>
      <c r="IL8" s="26">
        <v>1.0</v>
      </c>
      <c r="IM8" s="26">
        <v>1.0</v>
      </c>
      <c r="IN8" s="26">
        <v>1.0</v>
      </c>
      <c r="IO8" s="26">
        <v>1.0</v>
      </c>
      <c r="IP8" s="26">
        <v>1.0</v>
      </c>
      <c r="IQ8" s="26">
        <v>1.0</v>
      </c>
      <c r="IR8" s="26" t="s">
        <v>17</v>
      </c>
      <c r="IS8" s="26" t="s">
        <v>18</v>
      </c>
      <c r="IT8" s="26" t="s">
        <v>18</v>
      </c>
      <c r="IU8" s="26" t="s">
        <v>18</v>
      </c>
      <c r="IV8" s="26" t="s">
        <v>18</v>
      </c>
      <c r="IW8" s="26" t="s">
        <v>18</v>
      </c>
      <c r="IX8" s="26" t="s">
        <v>18</v>
      </c>
      <c r="IY8" s="26" t="s">
        <v>16</v>
      </c>
      <c r="IZ8" s="26">
        <v>1.0</v>
      </c>
      <c r="JA8" s="26">
        <v>1.0</v>
      </c>
      <c r="JB8" s="26">
        <v>1.0</v>
      </c>
      <c r="JC8" s="26">
        <v>1.0</v>
      </c>
      <c r="JD8" s="26">
        <v>1.0</v>
      </c>
      <c r="JE8" s="26">
        <v>1.0</v>
      </c>
      <c r="JF8" s="26">
        <v>1.0</v>
      </c>
      <c r="JG8" s="26">
        <v>1.0</v>
      </c>
      <c r="JH8" s="26">
        <v>1.0</v>
      </c>
      <c r="JI8" s="26">
        <v>1.0</v>
      </c>
      <c r="JJ8" s="26">
        <v>1.0</v>
      </c>
      <c r="JK8" s="26">
        <v>1.0</v>
      </c>
      <c r="JL8" s="26">
        <v>1.0</v>
      </c>
      <c r="JM8" s="26" t="s">
        <v>17</v>
      </c>
      <c r="JN8" s="26" t="s">
        <v>18</v>
      </c>
      <c r="JO8" s="26" t="s">
        <v>18</v>
      </c>
      <c r="JP8" s="26" t="s">
        <v>18</v>
      </c>
      <c r="JQ8" s="26" t="s">
        <v>18</v>
      </c>
      <c r="JR8" s="26" t="s">
        <v>18</v>
      </c>
      <c r="JS8" s="26" t="s">
        <v>18</v>
      </c>
      <c r="JT8" s="26" t="s">
        <v>16</v>
      </c>
      <c r="JU8" s="26">
        <v>1.0</v>
      </c>
      <c r="JV8" s="26">
        <v>1.0</v>
      </c>
      <c r="JW8" s="26">
        <v>1.0</v>
      </c>
    </row>
    <row r="9" ht="13.5" customHeight="1">
      <c r="C9" s="20"/>
      <c r="D9" s="34" t="s">
        <v>27</v>
      </c>
      <c r="E9" s="22"/>
      <c r="F9" s="23"/>
      <c r="G9" s="24"/>
      <c r="H9" s="25"/>
      <c r="I9" s="23"/>
      <c r="J9" s="23"/>
      <c r="K9" s="23"/>
      <c r="L9" s="31"/>
      <c r="M9" s="32"/>
      <c r="N9" s="33"/>
      <c r="O9" s="31"/>
      <c r="P9" s="31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6"/>
      <c r="DN9" s="26"/>
      <c r="DO9" s="26"/>
      <c r="DP9" s="26"/>
      <c r="DQ9" s="26"/>
      <c r="DR9" s="26"/>
      <c r="DS9" s="26"/>
      <c r="DT9" s="26"/>
      <c r="DU9" s="27"/>
      <c r="DV9" s="27"/>
      <c r="DW9" s="27"/>
      <c r="DX9" s="27"/>
      <c r="DY9" s="27"/>
      <c r="DZ9" s="27"/>
      <c r="EA9" s="27"/>
      <c r="EB9" s="27"/>
      <c r="EC9" s="27"/>
      <c r="ED9" s="26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6"/>
      <c r="FU9" s="26"/>
      <c r="FV9" s="26"/>
      <c r="FW9" s="26"/>
      <c r="FX9" s="26"/>
      <c r="FY9" s="26"/>
      <c r="FZ9" s="27"/>
      <c r="GA9" s="26"/>
      <c r="GB9" s="26"/>
      <c r="GC9" s="26"/>
      <c r="GD9" s="26"/>
      <c r="GE9" s="26"/>
      <c r="GF9" s="27"/>
      <c r="GG9" s="27"/>
      <c r="GH9" s="27"/>
      <c r="GI9" s="26"/>
      <c r="GJ9" s="26"/>
      <c r="GK9" s="29"/>
      <c r="GL9" s="26"/>
      <c r="GM9" s="26"/>
      <c r="GN9" s="26"/>
      <c r="GO9" s="26"/>
      <c r="GP9" s="26"/>
      <c r="GQ9" s="26"/>
      <c r="GR9" s="26"/>
      <c r="GS9" s="26"/>
      <c r="GT9" s="26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6"/>
      <c r="HF9" s="26"/>
      <c r="HG9" s="26"/>
      <c r="HH9" s="26"/>
      <c r="HI9" s="26"/>
      <c r="HJ9" s="26"/>
      <c r="HK9" s="26"/>
      <c r="HL9" s="27"/>
      <c r="HM9" s="26"/>
      <c r="HN9" s="26"/>
      <c r="HO9" s="26"/>
      <c r="HP9" s="26" t="s">
        <v>16</v>
      </c>
      <c r="HQ9" s="26">
        <v>1.0</v>
      </c>
      <c r="HR9" s="26">
        <v>1.0</v>
      </c>
      <c r="HS9" s="26">
        <v>1.0</v>
      </c>
      <c r="HT9" s="26">
        <v>1.0</v>
      </c>
      <c r="HU9" s="26">
        <v>1.0</v>
      </c>
      <c r="HV9" s="26">
        <v>1.0</v>
      </c>
      <c r="HW9" s="26">
        <v>1.0</v>
      </c>
      <c r="HX9" s="26">
        <v>1.0</v>
      </c>
      <c r="HY9" s="26">
        <v>1.0</v>
      </c>
      <c r="HZ9" s="26">
        <v>1.0</v>
      </c>
      <c r="IA9" s="26">
        <v>1.0</v>
      </c>
      <c r="IB9" s="26">
        <v>1.0</v>
      </c>
      <c r="IC9" s="26">
        <v>1.0</v>
      </c>
      <c r="ID9" s="26" t="s">
        <v>17</v>
      </c>
      <c r="IE9" s="26" t="s">
        <v>18</v>
      </c>
      <c r="IF9" s="26" t="s">
        <v>18</v>
      </c>
      <c r="IG9" s="26" t="s">
        <v>18</v>
      </c>
      <c r="IH9" s="26" t="s">
        <v>18</v>
      </c>
      <c r="II9" s="26" t="s">
        <v>18</v>
      </c>
      <c r="IJ9" s="26" t="s">
        <v>18</v>
      </c>
      <c r="IK9" s="26" t="s">
        <v>16</v>
      </c>
      <c r="IL9" s="26">
        <v>1.0</v>
      </c>
      <c r="IM9" s="26">
        <v>1.0</v>
      </c>
      <c r="IN9" s="26">
        <v>1.0</v>
      </c>
      <c r="IO9" s="26">
        <v>1.0</v>
      </c>
      <c r="IP9" s="26">
        <v>1.0</v>
      </c>
      <c r="IQ9" s="26">
        <v>1.0</v>
      </c>
      <c r="IR9" s="26">
        <v>1.0</v>
      </c>
      <c r="IS9" s="26">
        <v>1.0</v>
      </c>
      <c r="IT9" s="26">
        <v>1.0</v>
      </c>
      <c r="IU9" s="26">
        <v>1.0</v>
      </c>
      <c r="IV9" s="26">
        <v>1.0</v>
      </c>
      <c r="IW9" s="26">
        <v>1.0</v>
      </c>
      <c r="IX9" s="26">
        <v>1.0</v>
      </c>
      <c r="IY9" s="26" t="s">
        <v>17</v>
      </c>
      <c r="IZ9" s="26" t="s">
        <v>18</v>
      </c>
      <c r="JA9" s="26" t="s">
        <v>18</v>
      </c>
      <c r="JB9" s="26" t="s">
        <v>18</v>
      </c>
      <c r="JC9" s="26" t="s">
        <v>18</v>
      </c>
      <c r="JD9" s="26" t="s">
        <v>18</v>
      </c>
      <c r="JE9" s="26" t="s">
        <v>18</v>
      </c>
      <c r="JF9" s="26" t="s">
        <v>16</v>
      </c>
      <c r="JG9" s="26">
        <v>1.0</v>
      </c>
      <c r="JH9" s="26">
        <v>1.0</v>
      </c>
      <c r="JI9" s="26">
        <v>1.0</v>
      </c>
      <c r="JJ9" s="26">
        <v>1.0</v>
      </c>
      <c r="JK9" s="26">
        <v>1.0</v>
      </c>
      <c r="JL9" s="26">
        <v>1.0</v>
      </c>
      <c r="JM9" s="26">
        <v>1.0</v>
      </c>
      <c r="JN9" s="26">
        <v>1.0</v>
      </c>
      <c r="JO9" s="26">
        <v>1.0</v>
      </c>
      <c r="JP9" s="26">
        <v>1.0</v>
      </c>
      <c r="JQ9" s="26">
        <v>1.0</v>
      </c>
      <c r="JR9" s="26">
        <v>1.0</v>
      </c>
      <c r="JS9" s="26">
        <v>1.0</v>
      </c>
      <c r="JT9" s="26" t="s">
        <v>17</v>
      </c>
      <c r="JU9" s="26" t="s">
        <v>18</v>
      </c>
      <c r="JV9" s="26" t="s">
        <v>18</v>
      </c>
      <c r="JW9" s="26" t="s">
        <v>18</v>
      </c>
    </row>
    <row r="10" ht="13.5" customHeight="1">
      <c r="A10" s="20"/>
      <c r="B10" s="20"/>
      <c r="C10" s="20"/>
      <c r="D10" s="34" t="s">
        <v>28</v>
      </c>
      <c r="E10" s="22"/>
      <c r="F10" s="23">
        <v>3.875470943E9</v>
      </c>
      <c r="G10" s="24" t="s">
        <v>11</v>
      </c>
      <c r="H10" s="25" t="s">
        <v>22</v>
      </c>
      <c r="I10" s="23" t="s">
        <v>13</v>
      </c>
      <c r="J10" s="23" t="s">
        <v>14</v>
      </c>
      <c r="K10" s="22" t="s">
        <v>20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6"/>
      <c r="CS10" s="26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6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>
        <v>1.0</v>
      </c>
      <c r="FJ10" s="27">
        <v>1.0</v>
      </c>
      <c r="FK10" s="27">
        <v>1.0</v>
      </c>
      <c r="FL10" s="27">
        <v>1.0</v>
      </c>
      <c r="FM10" s="27">
        <v>1.0</v>
      </c>
      <c r="FN10" s="27">
        <v>1.0</v>
      </c>
      <c r="FO10" s="27">
        <v>1.0</v>
      </c>
      <c r="FP10" s="27">
        <v>1.0</v>
      </c>
      <c r="FQ10" s="27">
        <v>1.0</v>
      </c>
      <c r="FR10" s="27" t="s">
        <v>17</v>
      </c>
      <c r="FS10" s="27" t="s">
        <v>18</v>
      </c>
      <c r="FT10" s="27" t="s">
        <v>18</v>
      </c>
      <c r="FU10" s="27" t="s">
        <v>18</v>
      </c>
      <c r="FV10" s="27" t="s">
        <v>18</v>
      </c>
      <c r="FW10" s="27" t="s">
        <v>18</v>
      </c>
      <c r="FX10" s="27" t="s">
        <v>18</v>
      </c>
      <c r="FY10" s="27" t="s">
        <v>16</v>
      </c>
      <c r="FZ10" s="27">
        <v>1.0</v>
      </c>
      <c r="GA10" s="27">
        <v>1.0</v>
      </c>
      <c r="GB10" s="27">
        <v>1.0</v>
      </c>
      <c r="GC10" s="27">
        <v>1.0</v>
      </c>
      <c r="GD10" s="27">
        <v>1.0</v>
      </c>
      <c r="GE10" s="27">
        <v>1.0</v>
      </c>
      <c r="GF10" s="27">
        <v>1.0</v>
      </c>
      <c r="GG10" s="27">
        <v>1.0</v>
      </c>
      <c r="GH10" s="27">
        <v>1.0</v>
      </c>
      <c r="GI10" s="26">
        <v>1.0</v>
      </c>
      <c r="GJ10" s="26">
        <v>1.0</v>
      </c>
      <c r="GK10" s="29" t="s">
        <v>17</v>
      </c>
      <c r="GL10" s="26">
        <v>1.0</v>
      </c>
      <c r="GM10" s="26">
        <v>1.0</v>
      </c>
      <c r="GN10" s="26" t="s">
        <v>17</v>
      </c>
      <c r="GO10" s="26" t="s">
        <v>18</v>
      </c>
      <c r="GP10" s="26" t="s">
        <v>18</v>
      </c>
      <c r="GQ10" s="26" t="s">
        <v>18</v>
      </c>
      <c r="GR10" s="26" t="s">
        <v>18</v>
      </c>
      <c r="GS10" s="26" t="s">
        <v>18</v>
      </c>
      <c r="GT10" s="26" t="s">
        <v>18</v>
      </c>
      <c r="GU10" s="26" t="s">
        <v>18</v>
      </c>
      <c r="GV10" s="26" t="s">
        <v>18</v>
      </c>
      <c r="GW10" s="26" t="s">
        <v>18</v>
      </c>
      <c r="GX10" s="26" t="s">
        <v>16</v>
      </c>
      <c r="GY10" s="26">
        <v>1.0</v>
      </c>
      <c r="GZ10" s="26">
        <v>1.0</v>
      </c>
      <c r="HA10" s="26">
        <v>1.0</v>
      </c>
      <c r="HB10" s="26">
        <v>1.0</v>
      </c>
      <c r="HC10" s="26">
        <v>1.0</v>
      </c>
      <c r="HD10" s="26">
        <v>1.0</v>
      </c>
      <c r="HE10" s="26">
        <v>1.0</v>
      </c>
      <c r="HF10" s="26">
        <v>1.0</v>
      </c>
      <c r="HG10" s="26">
        <v>1.0</v>
      </c>
      <c r="HH10" s="26">
        <v>1.0</v>
      </c>
      <c r="HI10" s="26">
        <v>1.0</v>
      </c>
      <c r="HJ10" s="26">
        <v>1.0</v>
      </c>
      <c r="HK10" s="26">
        <v>1.0</v>
      </c>
      <c r="HL10" s="26">
        <v>1.0</v>
      </c>
      <c r="HM10" s="26">
        <v>1.0</v>
      </c>
      <c r="HN10" s="26">
        <v>1.0</v>
      </c>
      <c r="HO10" s="26">
        <v>1.0</v>
      </c>
      <c r="HP10" s="26" t="s">
        <v>17</v>
      </c>
      <c r="HQ10" s="26" t="s">
        <v>18</v>
      </c>
      <c r="HR10" s="26" t="s">
        <v>18</v>
      </c>
      <c r="HS10" s="26" t="s">
        <v>18</v>
      </c>
      <c r="HT10" s="26" t="s">
        <v>18</v>
      </c>
      <c r="HU10" s="26" t="s">
        <v>18</v>
      </c>
      <c r="HV10" s="26" t="s">
        <v>18</v>
      </c>
      <c r="HW10" s="26" t="s">
        <v>16</v>
      </c>
      <c r="HX10" s="26">
        <v>1.0</v>
      </c>
      <c r="HY10" s="26">
        <v>1.0</v>
      </c>
      <c r="HZ10" s="26">
        <v>1.0</v>
      </c>
      <c r="IA10" s="26">
        <v>1.0</v>
      </c>
      <c r="IB10" s="26">
        <v>1.0</v>
      </c>
      <c r="IC10" s="26">
        <v>1.0</v>
      </c>
      <c r="ID10" s="26">
        <v>1.0</v>
      </c>
      <c r="IE10" s="26">
        <v>1.0</v>
      </c>
      <c r="IF10" s="26">
        <v>1.0</v>
      </c>
      <c r="IG10" s="26">
        <v>1.0</v>
      </c>
      <c r="IH10" s="26">
        <v>1.0</v>
      </c>
      <c r="II10" s="26">
        <v>1.0</v>
      </c>
      <c r="IJ10" s="26">
        <v>1.0</v>
      </c>
      <c r="IK10" s="26" t="s">
        <v>17</v>
      </c>
      <c r="IL10" s="26" t="s">
        <v>18</v>
      </c>
      <c r="IM10" s="26" t="s">
        <v>18</v>
      </c>
      <c r="IN10" s="26" t="s">
        <v>18</v>
      </c>
      <c r="IO10" s="26" t="s">
        <v>18</v>
      </c>
      <c r="IP10" s="26" t="s">
        <v>18</v>
      </c>
      <c r="IQ10" s="26" t="s">
        <v>18</v>
      </c>
      <c r="IR10" s="26" t="s">
        <v>16</v>
      </c>
      <c r="IS10" s="26">
        <v>1.0</v>
      </c>
      <c r="IT10" s="26">
        <v>1.0</v>
      </c>
      <c r="IU10" s="26">
        <v>1.0</v>
      </c>
      <c r="IV10" s="26">
        <v>1.0</v>
      </c>
      <c r="IW10" s="26">
        <v>1.0</v>
      </c>
      <c r="IX10" s="26">
        <v>1.0</v>
      </c>
      <c r="IY10" s="26">
        <v>1.0</v>
      </c>
      <c r="IZ10" s="26">
        <v>1.0</v>
      </c>
      <c r="JA10" s="26">
        <v>1.0</v>
      </c>
      <c r="JB10" s="26">
        <v>1.0</v>
      </c>
      <c r="JC10" s="26">
        <v>1.0</v>
      </c>
      <c r="JD10" s="26">
        <v>1.0</v>
      </c>
      <c r="JE10" s="26">
        <v>1.0</v>
      </c>
      <c r="JF10" s="26" t="s">
        <v>17</v>
      </c>
      <c r="JG10" s="26" t="s">
        <v>18</v>
      </c>
      <c r="JH10" s="26" t="s">
        <v>18</v>
      </c>
      <c r="JI10" s="26" t="s">
        <v>18</v>
      </c>
      <c r="JJ10" s="26" t="s">
        <v>18</v>
      </c>
      <c r="JK10" s="26" t="s">
        <v>18</v>
      </c>
      <c r="JL10" s="26" t="s">
        <v>18</v>
      </c>
      <c r="JM10" s="26" t="s">
        <v>16</v>
      </c>
      <c r="JN10" s="26">
        <v>1.0</v>
      </c>
      <c r="JO10" s="26">
        <v>1.0</v>
      </c>
      <c r="JP10" s="26">
        <v>1.0</v>
      </c>
      <c r="JQ10" s="26">
        <v>1.0</v>
      </c>
      <c r="JR10" s="26">
        <v>1.0</v>
      </c>
      <c r="JS10" s="26">
        <v>1.0</v>
      </c>
      <c r="JT10" s="26">
        <v>1.0</v>
      </c>
      <c r="JU10" s="26">
        <v>1.0</v>
      </c>
      <c r="JV10" s="26">
        <v>1.0</v>
      </c>
      <c r="JW10" s="26">
        <v>1.0</v>
      </c>
    </row>
    <row r="11" ht="14.25" customHeight="1">
      <c r="A11" s="20"/>
      <c r="B11" s="20"/>
      <c r="C11" s="20"/>
      <c r="D11" s="35" t="s">
        <v>29</v>
      </c>
      <c r="E11" s="22"/>
      <c r="F11" s="23">
        <v>3.875728999E9</v>
      </c>
      <c r="G11" s="24" t="s">
        <v>11</v>
      </c>
      <c r="H11" s="25" t="s">
        <v>22</v>
      </c>
      <c r="I11" s="23" t="s">
        <v>13</v>
      </c>
      <c r="J11" s="23" t="s">
        <v>14</v>
      </c>
      <c r="K11" s="23" t="s">
        <v>20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8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7"/>
      <c r="EX11" s="27"/>
      <c r="EY11" s="27"/>
      <c r="EZ11" s="27"/>
      <c r="FA11" s="27"/>
      <c r="FB11" s="27"/>
      <c r="FC11" s="27"/>
      <c r="FD11" s="26"/>
      <c r="FE11" s="26"/>
      <c r="FF11" s="26"/>
      <c r="FG11" s="26"/>
      <c r="FH11" s="26"/>
      <c r="FI11" s="26" t="s">
        <v>18</v>
      </c>
      <c r="FJ11" s="26" t="s">
        <v>16</v>
      </c>
      <c r="FK11" s="26">
        <v>1.0</v>
      </c>
      <c r="FL11" s="26">
        <v>1.0</v>
      </c>
      <c r="FM11" s="26">
        <v>1.0</v>
      </c>
      <c r="FN11" s="26">
        <v>1.0</v>
      </c>
      <c r="FO11" s="26">
        <v>1.0</v>
      </c>
      <c r="FP11" s="26">
        <v>1.0</v>
      </c>
      <c r="FQ11" s="26">
        <v>1.0</v>
      </c>
      <c r="FR11" s="27">
        <v>1.0</v>
      </c>
      <c r="FS11" s="27">
        <v>1.0</v>
      </c>
      <c r="FT11" s="27">
        <v>1.0</v>
      </c>
      <c r="FU11" s="27">
        <v>1.0</v>
      </c>
      <c r="FV11" s="27">
        <v>1.0</v>
      </c>
      <c r="FW11" s="27">
        <v>1.0</v>
      </c>
      <c r="FX11" s="26" t="s">
        <v>17</v>
      </c>
      <c r="FY11" s="36" t="s">
        <v>18</v>
      </c>
      <c r="FZ11" s="37" t="s">
        <v>18</v>
      </c>
      <c r="GA11" s="37" t="s">
        <v>18</v>
      </c>
      <c r="GB11" s="37" t="s">
        <v>18</v>
      </c>
      <c r="GC11" s="37" t="s">
        <v>18</v>
      </c>
      <c r="GD11" s="37" t="s">
        <v>18</v>
      </c>
      <c r="GE11" s="38" t="s">
        <v>18</v>
      </c>
      <c r="GF11" s="39" t="s">
        <v>18</v>
      </c>
      <c r="GG11" s="39" t="s">
        <v>18</v>
      </c>
      <c r="GH11" s="39" t="s">
        <v>18</v>
      </c>
      <c r="GI11" s="26" t="s">
        <v>18</v>
      </c>
      <c r="GJ11" s="26" t="s">
        <v>18</v>
      </c>
      <c r="GK11" s="40" t="s">
        <v>16</v>
      </c>
      <c r="GL11" s="26">
        <v>1.0</v>
      </c>
      <c r="GM11" s="26">
        <v>1.0</v>
      </c>
      <c r="GN11" s="26">
        <v>1.0</v>
      </c>
      <c r="GO11" s="26">
        <v>1.0</v>
      </c>
      <c r="GP11" s="26">
        <v>1.0</v>
      </c>
      <c r="GQ11" s="26" t="s">
        <v>17</v>
      </c>
      <c r="GR11" s="26" t="s">
        <v>18</v>
      </c>
      <c r="GS11" s="26" t="s">
        <v>18</v>
      </c>
      <c r="GT11" s="26" t="s">
        <v>18</v>
      </c>
      <c r="GU11" s="26" t="s">
        <v>18</v>
      </c>
      <c r="GV11" s="26" t="s">
        <v>18</v>
      </c>
      <c r="GW11" s="26" t="s">
        <v>18</v>
      </c>
      <c r="GX11" s="26" t="s">
        <v>16</v>
      </c>
      <c r="GY11" s="26">
        <v>1.0</v>
      </c>
      <c r="GZ11" s="26">
        <v>1.0</v>
      </c>
      <c r="HA11" s="26">
        <v>1.0</v>
      </c>
      <c r="HB11" s="26">
        <v>1.0</v>
      </c>
      <c r="HC11" s="26">
        <v>1.0</v>
      </c>
      <c r="HD11" s="26">
        <v>1.0</v>
      </c>
      <c r="HE11" s="26">
        <v>1.0</v>
      </c>
      <c r="HF11" s="26">
        <v>1.0</v>
      </c>
      <c r="HG11" s="26">
        <v>1.0</v>
      </c>
      <c r="HH11" s="26">
        <v>1.0</v>
      </c>
      <c r="HI11" s="26">
        <v>1.0</v>
      </c>
      <c r="HJ11" s="26">
        <v>1.0</v>
      </c>
      <c r="HK11" s="26">
        <v>1.0</v>
      </c>
      <c r="HL11" s="26" t="s">
        <v>17</v>
      </c>
      <c r="HM11" s="26" t="s">
        <v>18</v>
      </c>
      <c r="HN11" s="26" t="s">
        <v>18</v>
      </c>
      <c r="HO11" s="26" t="s">
        <v>18</v>
      </c>
      <c r="HP11" s="26" t="s">
        <v>18</v>
      </c>
      <c r="HQ11" s="26" t="s">
        <v>18</v>
      </c>
      <c r="HR11" s="26" t="s">
        <v>18</v>
      </c>
      <c r="HS11" s="26" t="s">
        <v>16</v>
      </c>
      <c r="HT11" s="26">
        <v>1.0</v>
      </c>
      <c r="HU11" s="26">
        <v>1.0</v>
      </c>
      <c r="HV11" s="26">
        <v>1.0</v>
      </c>
      <c r="HW11" s="26">
        <v>1.0</v>
      </c>
      <c r="HX11" s="26">
        <v>1.0</v>
      </c>
      <c r="HY11" s="26">
        <v>1.0</v>
      </c>
      <c r="HZ11" s="26">
        <v>1.0</v>
      </c>
      <c r="IA11" s="26">
        <v>1.0</v>
      </c>
      <c r="IB11" s="26">
        <v>1.0</v>
      </c>
      <c r="IC11" s="26">
        <v>1.0</v>
      </c>
      <c r="ID11" s="26">
        <v>1.0</v>
      </c>
      <c r="IE11" s="26">
        <v>1.0</v>
      </c>
      <c r="IF11" s="26">
        <v>1.0</v>
      </c>
      <c r="IG11" s="26" t="s">
        <v>17</v>
      </c>
      <c r="IH11" s="26" t="s">
        <v>18</v>
      </c>
      <c r="II11" s="26" t="s">
        <v>18</v>
      </c>
      <c r="IJ11" s="26" t="s">
        <v>18</v>
      </c>
      <c r="IK11" s="26" t="s">
        <v>18</v>
      </c>
      <c r="IL11" s="26" t="s">
        <v>18</v>
      </c>
      <c r="IM11" s="26" t="s">
        <v>18</v>
      </c>
      <c r="IN11" s="26" t="s">
        <v>16</v>
      </c>
      <c r="IO11" s="26">
        <v>1.0</v>
      </c>
      <c r="IP11" s="26">
        <v>1.0</v>
      </c>
      <c r="IQ11" s="26">
        <v>1.0</v>
      </c>
      <c r="IR11" s="26">
        <v>1.0</v>
      </c>
      <c r="IS11" s="26">
        <v>1.0</v>
      </c>
      <c r="IT11" s="26">
        <v>1.0</v>
      </c>
      <c r="IU11" s="26">
        <v>1.0</v>
      </c>
      <c r="IV11" s="26">
        <v>1.0</v>
      </c>
      <c r="IW11" s="26">
        <v>1.0</v>
      </c>
      <c r="IX11" s="26">
        <v>1.0</v>
      </c>
      <c r="IY11" s="26">
        <v>1.0</v>
      </c>
      <c r="IZ11" s="26">
        <v>1.0</v>
      </c>
      <c r="JA11" s="26">
        <v>1.0</v>
      </c>
      <c r="JB11" s="26" t="s">
        <v>17</v>
      </c>
      <c r="JC11" s="26" t="s">
        <v>18</v>
      </c>
      <c r="JD11" s="26" t="s">
        <v>18</v>
      </c>
      <c r="JE11" s="26" t="s">
        <v>18</v>
      </c>
      <c r="JF11" s="26" t="s">
        <v>18</v>
      </c>
      <c r="JG11" s="26" t="s">
        <v>18</v>
      </c>
      <c r="JH11" s="26" t="s">
        <v>18</v>
      </c>
      <c r="JI11" s="26" t="s">
        <v>16</v>
      </c>
      <c r="JJ11" s="26">
        <v>1.0</v>
      </c>
      <c r="JK11" s="26">
        <v>1.0</v>
      </c>
      <c r="JL11" s="26">
        <v>1.0</v>
      </c>
      <c r="JM11" s="26">
        <v>1.0</v>
      </c>
      <c r="JN11" s="26">
        <v>1.0</v>
      </c>
      <c r="JO11" s="26">
        <v>1.0</v>
      </c>
      <c r="JP11" s="26">
        <v>1.0</v>
      </c>
      <c r="JQ11" s="26">
        <v>1.0</v>
      </c>
      <c r="JR11" s="26">
        <v>1.0</v>
      </c>
      <c r="JS11" s="26">
        <v>1.0</v>
      </c>
      <c r="JT11" s="26">
        <v>1.0</v>
      </c>
      <c r="JU11" s="26">
        <v>1.0</v>
      </c>
      <c r="JV11" s="26">
        <v>1.0</v>
      </c>
      <c r="JW11" s="26" t="s">
        <v>17</v>
      </c>
    </row>
    <row r="12" ht="14.25" customHeight="1">
      <c r="A12" s="20"/>
      <c r="B12" s="20"/>
      <c r="C12" s="20"/>
      <c r="D12" s="35" t="s">
        <v>30</v>
      </c>
      <c r="E12" s="22"/>
      <c r="F12" s="23"/>
      <c r="G12" s="24"/>
      <c r="H12" s="25"/>
      <c r="I12" s="23"/>
      <c r="J12" s="23"/>
      <c r="K12" s="23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8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7"/>
      <c r="EX12" s="27"/>
      <c r="EY12" s="27"/>
      <c r="EZ12" s="27"/>
      <c r="FA12" s="27"/>
      <c r="FB12" s="27"/>
      <c r="FC12" s="27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7"/>
      <c r="FS12" s="27"/>
      <c r="FT12" s="27"/>
      <c r="FU12" s="27"/>
      <c r="FV12" s="27"/>
      <c r="FW12" s="27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 t="s">
        <v>16</v>
      </c>
      <c r="HM12" s="26">
        <v>1.0</v>
      </c>
      <c r="HN12" s="26">
        <v>1.0</v>
      </c>
      <c r="HO12" s="26">
        <v>1.0</v>
      </c>
      <c r="HP12" s="26">
        <v>1.0</v>
      </c>
      <c r="HQ12" s="26">
        <v>1.0</v>
      </c>
      <c r="HR12" s="26">
        <v>1.0</v>
      </c>
      <c r="HS12" s="26">
        <v>1.0</v>
      </c>
      <c r="HT12" s="26">
        <v>1.0</v>
      </c>
      <c r="HU12" s="26">
        <v>1.0</v>
      </c>
      <c r="HV12" s="26">
        <v>1.0</v>
      </c>
      <c r="HW12" s="26">
        <v>1.0</v>
      </c>
      <c r="HX12" s="26">
        <v>1.0</v>
      </c>
      <c r="HY12" s="26">
        <v>1.0</v>
      </c>
      <c r="HZ12" s="26" t="s">
        <v>17</v>
      </c>
      <c r="IA12" s="26" t="s">
        <v>18</v>
      </c>
      <c r="IB12" s="26" t="s">
        <v>18</v>
      </c>
      <c r="IC12" s="26" t="s">
        <v>18</v>
      </c>
      <c r="ID12" s="26" t="s">
        <v>18</v>
      </c>
      <c r="IE12" s="26" t="s">
        <v>18</v>
      </c>
      <c r="IF12" s="26" t="s">
        <v>18</v>
      </c>
      <c r="IG12" s="26" t="s">
        <v>16</v>
      </c>
      <c r="IH12" s="26">
        <v>1.0</v>
      </c>
      <c r="II12" s="26">
        <v>1.0</v>
      </c>
      <c r="IJ12" s="26">
        <v>1.0</v>
      </c>
      <c r="IK12" s="26">
        <v>1.0</v>
      </c>
      <c r="IL12" s="26">
        <v>1.0</v>
      </c>
      <c r="IM12" s="26">
        <v>1.0</v>
      </c>
      <c r="IN12" s="26">
        <v>1.0</v>
      </c>
      <c r="IO12" s="26">
        <v>1.0</v>
      </c>
      <c r="IP12" s="26">
        <v>1.0</v>
      </c>
      <c r="IQ12" s="26">
        <v>1.0</v>
      </c>
      <c r="IR12" s="26">
        <v>1.0</v>
      </c>
      <c r="IS12" s="26">
        <v>1.0</v>
      </c>
      <c r="IT12" s="26">
        <v>1.0</v>
      </c>
      <c r="IU12" s="26" t="s">
        <v>17</v>
      </c>
      <c r="IV12" s="26" t="s">
        <v>18</v>
      </c>
      <c r="IW12" s="26" t="s">
        <v>18</v>
      </c>
      <c r="IX12" s="26" t="s">
        <v>18</v>
      </c>
      <c r="IY12" s="26" t="s">
        <v>18</v>
      </c>
      <c r="IZ12" s="26" t="s">
        <v>18</v>
      </c>
      <c r="JA12" s="26" t="s">
        <v>18</v>
      </c>
      <c r="JB12" s="26" t="s">
        <v>16</v>
      </c>
      <c r="JC12" s="26">
        <v>1.0</v>
      </c>
      <c r="JD12" s="26">
        <v>1.0</v>
      </c>
      <c r="JE12" s="26">
        <v>1.0</v>
      </c>
      <c r="JF12" s="26">
        <v>1.0</v>
      </c>
      <c r="JG12" s="26">
        <v>1.0</v>
      </c>
      <c r="JH12" s="26">
        <v>1.0</v>
      </c>
      <c r="JI12" s="26">
        <v>1.0</v>
      </c>
      <c r="JJ12" s="26">
        <v>1.0</v>
      </c>
      <c r="JK12" s="26">
        <v>1.0</v>
      </c>
      <c r="JL12" s="26">
        <v>1.0</v>
      </c>
      <c r="JM12" s="26">
        <v>1.0</v>
      </c>
      <c r="JN12" s="26">
        <v>1.0</v>
      </c>
      <c r="JO12" s="26">
        <v>1.0</v>
      </c>
      <c r="JP12" s="26" t="s">
        <v>16</v>
      </c>
      <c r="JQ12" s="26">
        <v>1.0</v>
      </c>
      <c r="JR12" s="26">
        <v>1.0</v>
      </c>
      <c r="JS12" s="26">
        <v>1.0</v>
      </c>
      <c r="JT12" s="26">
        <v>1.0</v>
      </c>
      <c r="JU12" s="26">
        <v>1.0</v>
      </c>
      <c r="JV12" s="26">
        <v>1.0</v>
      </c>
      <c r="JW12" s="26">
        <v>1.0</v>
      </c>
    </row>
    <row r="13" ht="13.5" customHeight="1">
      <c r="A13" s="41"/>
      <c r="B13" s="41"/>
      <c r="C13" s="42"/>
      <c r="D13" s="35" t="s">
        <v>31</v>
      </c>
      <c r="E13" s="22"/>
      <c r="F13" s="23"/>
      <c r="G13" s="24" t="s">
        <v>11</v>
      </c>
      <c r="H13" s="25" t="s">
        <v>22</v>
      </c>
      <c r="I13" s="23" t="s">
        <v>13</v>
      </c>
      <c r="J13" s="23" t="s">
        <v>14</v>
      </c>
      <c r="K13" s="23" t="s">
        <v>20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6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 t="s">
        <v>16</v>
      </c>
      <c r="HX13" s="26">
        <v>1.0</v>
      </c>
      <c r="HY13" s="26">
        <v>1.0</v>
      </c>
      <c r="HZ13" s="26">
        <v>1.0</v>
      </c>
      <c r="IA13" s="26">
        <v>1.0</v>
      </c>
      <c r="IB13" s="26">
        <v>1.0</v>
      </c>
      <c r="IC13" s="26">
        <v>1.0</v>
      </c>
      <c r="ID13" s="26">
        <v>1.0</v>
      </c>
      <c r="IE13" s="26">
        <v>1.0</v>
      </c>
      <c r="IF13" s="26">
        <v>1.0</v>
      </c>
      <c r="IG13" s="26">
        <v>1.0</v>
      </c>
      <c r="IH13" s="26">
        <v>1.0</v>
      </c>
      <c r="II13" s="26">
        <v>1.0</v>
      </c>
      <c r="IJ13" s="26">
        <v>1.0</v>
      </c>
      <c r="IK13" s="26">
        <v>1.0</v>
      </c>
      <c r="IL13" s="26">
        <v>1.0</v>
      </c>
      <c r="IM13" s="26">
        <v>1.0</v>
      </c>
      <c r="IN13" s="26" t="s">
        <v>17</v>
      </c>
      <c r="IO13" s="26" t="s">
        <v>18</v>
      </c>
      <c r="IP13" s="26" t="s">
        <v>18</v>
      </c>
      <c r="IQ13" s="26" t="s">
        <v>18</v>
      </c>
      <c r="IR13" s="26" t="s">
        <v>18</v>
      </c>
      <c r="IS13" s="26" t="s">
        <v>18</v>
      </c>
      <c r="IT13" s="26" t="s">
        <v>18</v>
      </c>
      <c r="IU13" s="26" t="s">
        <v>16</v>
      </c>
      <c r="IV13" s="26">
        <v>1.0</v>
      </c>
      <c r="IW13" s="26">
        <v>1.0</v>
      </c>
      <c r="IX13" s="26">
        <v>1.0</v>
      </c>
      <c r="IY13" s="26">
        <v>1.0</v>
      </c>
      <c r="IZ13" s="26">
        <v>1.0</v>
      </c>
      <c r="JA13" s="26">
        <v>1.0</v>
      </c>
      <c r="JB13" s="26">
        <v>1.0</v>
      </c>
      <c r="JC13" s="26">
        <v>1.0</v>
      </c>
      <c r="JD13" s="26">
        <v>1.0</v>
      </c>
      <c r="JE13" s="26">
        <v>1.0</v>
      </c>
      <c r="JF13" s="26">
        <v>1.0</v>
      </c>
      <c r="JG13" s="26">
        <v>1.0</v>
      </c>
      <c r="JH13" s="26">
        <v>1.0</v>
      </c>
      <c r="JI13" s="26" t="s">
        <v>17</v>
      </c>
      <c r="JJ13" s="26" t="s">
        <v>18</v>
      </c>
      <c r="JK13" s="26" t="s">
        <v>18</v>
      </c>
      <c r="JL13" s="26" t="s">
        <v>18</v>
      </c>
      <c r="JM13" s="26" t="s">
        <v>18</v>
      </c>
      <c r="JN13" s="26" t="s">
        <v>18</v>
      </c>
      <c r="JO13" s="26" t="s">
        <v>18</v>
      </c>
      <c r="JP13" s="26" t="s">
        <v>16</v>
      </c>
      <c r="JQ13" s="26">
        <v>1.0</v>
      </c>
      <c r="JR13" s="26">
        <v>1.0</v>
      </c>
      <c r="JS13" s="26">
        <v>1.0</v>
      </c>
      <c r="JT13" s="26">
        <v>1.0</v>
      </c>
      <c r="JU13" s="26">
        <v>1.0</v>
      </c>
      <c r="JV13" s="26">
        <v>1.0</v>
      </c>
      <c r="JW13" s="26">
        <v>1.0</v>
      </c>
    </row>
    <row r="14" ht="13.5" customHeight="1">
      <c r="A14" s="20"/>
      <c r="B14" s="20"/>
      <c r="C14" s="20"/>
      <c r="D14" s="43" t="s">
        <v>32</v>
      </c>
      <c r="E14" s="44"/>
      <c r="F14" s="45"/>
      <c r="G14" s="44"/>
      <c r="H14" s="46"/>
      <c r="I14" s="45"/>
      <c r="J14" s="46"/>
      <c r="K14" s="45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  <c r="BW14" s="47"/>
      <c r="BX14" s="47"/>
      <c r="BY14" s="47"/>
      <c r="BZ14" s="47"/>
      <c r="CA14" s="47"/>
      <c r="CB14" s="47"/>
      <c r="CC14" s="47"/>
      <c r="CD14" s="47"/>
      <c r="CE14" s="47"/>
      <c r="CF14" s="47"/>
      <c r="CG14" s="47"/>
      <c r="CH14" s="47"/>
      <c r="CI14" s="47"/>
      <c r="CJ14" s="47"/>
      <c r="CK14" s="47"/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47"/>
      <c r="DA14" s="47"/>
      <c r="DB14" s="47"/>
      <c r="DC14" s="47"/>
      <c r="DD14" s="47"/>
      <c r="DE14" s="47"/>
      <c r="DF14" s="47"/>
      <c r="DG14" s="47"/>
      <c r="DH14" s="47"/>
      <c r="DI14" s="48"/>
      <c r="DJ14" s="47"/>
      <c r="DK14" s="47"/>
      <c r="DL14" s="47"/>
      <c r="DM14" s="48"/>
      <c r="DN14" s="47"/>
      <c r="DO14" s="47"/>
      <c r="DP14" s="47"/>
      <c r="DQ14" s="47"/>
      <c r="DR14" s="47"/>
      <c r="DS14" s="47"/>
      <c r="DT14" s="47"/>
      <c r="DU14" s="47"/>
      <c r="DV14" s="47"/>
      <c r="DW14" s="47"/>
      <c r="DX14" s="47"/>
      <c r="DY14" s="47"/>
      <c r="DZ14" s="47"/>
      <c r="EA14" s="48"/>
      <c r="EB14" s="48"/>
      <c r="EC14" s="48"/>
      <c r="ED14" s="48"/>
      <c r="EE14" s="6"/>
      <c r="EF14" s="6"/>
      <c r="EG14" s="6"/>
      <c r="EH14" s="47"/>
      <c r="EI14" s="47"/>
      <c r="EJ14" s="47"/>
      <c r="EK14" s="48"/>
      <c r="EL14" s="47"/>
      <c r="EM14" s="47"/>
      <c r="EN14" s="47"/>
      <c r="EO14" s="47"/>
      <c r="EP14" s="47"/>
      <c r="EQ14" s="47"/>
      <c r="ER14" s="47"/>
      <c r="ES14" s="47"/>
      <c r="ET14" s="47"/>
      <c r="EU14" s="47"/>
      <c r="EV14" s="48"/>
      <c r="EW14" s="47"/>
      <c r="EX14" s="47"/>
      <c r="EY14" s="47"/>
      <c r="EZ14" s="48"/>
      <c r="FA14" s="48"/>
      <c r="FB14" s="48"/>
      <c r="FC14" s="48"/>
      <c r="FD14" s="47"/>
      <c r="FE14" s="47"/>
      <c r="FF14" s="47"/>
      <c r="FG14" s="47"/>
      <c r="FH14" s="47"/>
      <c r="FI14" s="47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7"/>
      <c r="FZ14" s="47"/>
      <c r="GA14" s="47"/>
      <c r="GB14" s="47"/>
      <c r="GC14" s="47"/>
      <c r="GD14" s="48"/>
      <c r="GE14" s="48"/>
      <c r="GF14" s="47"/>
      <c r="GG14" s="47"/>
      <c r="GH14" s="47"/>
      <c r="GI14" s="47"/>
      <c r="GJ14" s="47"/>
      <c r="GK14" s="47"/>
      <c r="GL14" s="26"/>
      <c r="GM14" s="26"/>
      <c r="GN14" s="26"/>
      <c r="GO14" s="26"/>
      <c r="GP14" s="26"/>
      <c r="GQ14" s="26"/>
      <c r="GR14" s="26"/>
      <c r="GS14" s="26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 t="s">
        <v>16</v>
      </c>
      <c r="HM14" s="26">
        <v>1.0</v>
      </c>
      <c r="HN14" s="26">
        <v>1.0</v>
      </c>
      <c r="HO14" s="26" t="s">
        <v>17</v>
      </c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 t="s">
        <v>16</v>
      </c>
      <c r="IA14" s="26">
        <v>1.0</v>
      </c>
      <c r="IB14" s="26">
        <v>1.0</v>
      </c>
      <c r="IC14" s="26" t="s">
        <v>17</v>
      </c>
      <c r="ID14" s="26"/>
      <c r="IE14" s="26"/>
      <c r="IF14" s="26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6"/>
      <c r="JT14" s="26"/>
      <c r="JU14" s="26"/>
      <c r="JV14" s="26"/>
      <c r="JW14" s="26"/>
    </row>
    <row r="15" ht="13.5" customHeight="1">
      <c r="A15" s="20"/>
      <c r="B15" s="20"/>
      <c r="C15" s="20"/>
      <c r="D15" s="49"/>
      <c r="E15" s="44"/>
      <c r="F15" s="45"/>
      <c r="G15" s="44"/>
      <c r="H15" s="46"/>
      <c r="I15" s="45"/>
      <c r="J15" s="46"/>
      <c r="K15" s="44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47"/>
      <c r="CG15" s="47"/>
      <c r="CH15" s="47"/>
      <c r="CI15" s="47"/>
      <c r="CJ15" s="47"/>
      <c r="CK15" s="47"/>
      <c r="CL15" s="47"/>
      <c r="CM15" s="47"/>
      <c r="CN15" s="47"/>
      <c r="CO15" s="47"/>
      <c r="CP15" s="47"/>
      <c r="CQ15" s="47"/>
      <c r="CR15" s="47"/>
      <c r="CS15" s="47"/>
      <c r="CT15" s="47"/>
      <c r="CU15" s="47"/>
      <c r="CV15" s="47"/>
      <c r="CW15" s="47"/>
      <c r="CX15" s="47"/>
      <c r="CY15" s="47"/>
      <c r="CZ15" s="47"/>
      <c r="DA15" s="47"/>
      <c r="DB15" s="47"/>
      <c r="DC15" s="47"/>
      <c r="DD15" s="47"/>
      <c r="DE15" s="47"/>
      <c r="DF15" s="47"/>
      <c r="DG15" s="47"/>
      <c r="DH15" s="50"/>
      <c r="DI15" s="47"/>
      <c r="DJ15" s="47"/>
      <c r="DK15" s="47"/>
      <c r="DL15" s="47"/>
      <c r="DM15" s="47"/>
      <c r="DN15" s="47"/>
      <c r="DO15" s="47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7"/>
      <c r="EP15" s="47"/>
      <c r="EQ15" s="47"/>
      <c r="ER15" s="47"/>
      <c r="ES15" s="47"/>
      <c r="ET15" s="47"/>
      <c r="EU15" s="47"/>
      <c r="EV15" s="47"/>
      <c r="EW15" s="47"/>
      <c r="EX15" s="47"/>
      <c r="EY15" s="47"/>
      <c r="EZ15" s="47"/>
      <c r="FA15" s="47"/>
      <c r="FB15" s="47"/>
      <c r="FC15" s="47"/>
      <c r="FD15" s="47"/>
      <c r="FE15" s="47"/>
      <c r="FF15" s="47"/>
      <c r="FG15" s="47"/>
      <c r="FH15" s="47"/>
      <c r="FI15" s="47"/>
      <c r="FJ15" s="47"/>
      <c r="FK15" s="47"/>
      <c r="FL15" s="47"/>
      <c r="FM15" s="47"/>
      <c r="FN15" s="47"/>
      <c r="FO15" s="47"/>
      <c r="FP15" s="47"/>
      <c r="FQ15" s="47"/>
      <c r="FR15" s="47"/>
      <c r="FS15" s="47"/>
      <c r="FT15" s="47"/>
      <c r="FU15" s="47"/>
      <c r="FV15" s="47"/>
      <c r="FW15" s="47"/>
      <c r="FX15" s="47"/>
      <c r="FY15" s="47"/>
      <c r="FZ15" s="47"/>
      <c r="GA15" s="47"/>
      <c r="GB15" s="47"/>
      <c r="GC15" s="47"/>
      <c r="GD15" s="47"/>
      <c r="GE15" s="47"/>
      <c r="GF15" s="47"/>
      <c r="GG15" s="47"/>
      <c r="GH15" s="47"/>
      <c r="GI15" s="47"/>
      <c r="GJ15" s="47"/>
      <c r="GK15" s="47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>
        <f t="shared" ref="GZ15:JW15" si="2">SUM(GZ5:GZ14)</f>
        <v>4</v>
      </c>
      <c r="HA15" s="48">
        <f t="shared" si="2"/>
        <v>4</v>
      </c>
      <c r="HB15" s="48">
        <f t="shared" si="2"/>
        <v>3</v>
      </c>
      <c r="HC15" s="48">
        <f t="shared" si="2"/>
        <v>3</v>
      </c>
      <c r="HD15" s="48">
        <f t="shared" si="2"/>
        <v>4</v>
      </c>
      <c r="HE15" s="48">
        <f t="shared" si="2"/>
        <v>3</v>
      </c>
      <c r="HF15" s="48">
        <f t="shared" si="2"/>
        <v>3</v>
      </c>
      <c r="HG15" s="48">
        <f t="shared" si="2"/>
        <v>3</v>
      </c>
      <c r="HH15" s="48">
        <f t="shared" si="2"/>
        <v>3</v>
      </c>
      <c r="HI15" s="48">
        <f t="shared" si="2"/>
        <v>3</v>
      </c>
      <c r="HJ15" s="48">
        <f t="shared" si="2"/>
        <v>4</v>
      </c>
      <c r="HK15" s="48">
        <f t="shared" si="2"/>
        <v>4</v>
      </c>
      <c r="HL15" s="48">
        <f t="shared" si="2"/>
        <v>3</v>
      </c>
      <c r="HM15" s="48">
        <f t="shared" si="2"/>
        <v>6</v>
      </c>
      <c r="HN15" s="48">
        <f t="shared" si="2"/>
        <v>6</v>
      </c>
      <c r="HO15" s="48">
        <f t="shared" si="2"/>
        <v>5</v>
      </c>
      <c r="HP15" s="48">
        <f t="shared" si="2"/>
        <v>3</v>
      </c>
      <c r="HQ15" s="48">
        <f t="shared" si="2"/>
        <v>5</v>
      </c>
      <c r="HR15" s="48">
        <f t="shared" si="2"/>
        <v>5</v>
      </c>
      <c r="HS15" s="48">
        <f t="shared" si="2"/>
        <v>5</v>
      </c>
      <c r="HT15" s="48">
        <f t="shared" si="2"/>
        <v>6</v>
      </c>
      <c r="HU15" s="48">
        <f t="shared" si="2"/>
        <v>6</v>
      </c>
      <c r="HV15" s="48">
        <f t="shared" si="2"/>
        <v>6</v>
      </c>
      <c r="HW15" s="48">
        <f t="shared" si="2"/>
        <v>4</v>
      </c>
      <c r="HX15" s="48">
        <f t="shared" si="2"/>
        <v>7</v>
      </c>
      <c r="HY15" s="48">
        <f t="shared" si="2"/>
        <v>7</v>
      </c>
      <c r="HZ15" s="48">
        <f t="shared" si="2"/>
        <v>6</v>
      </c>
      <c r="IA15" s="48">
        <f t="shared" si="2"/>
        <v>7</v>
      </c>
      <c r="IB15" s="48">
        <f t="shared" si="2"/>
        <v>7</v>
      </c>
      <c r="IC15" s="48">
        <f t="shared" si="2"/>
        <v>6</v>
      </c>
      <c r="ID15" s="48">
        <f t="shared" si="2"/>
        <v>4</v>
      </c>
      <c r="IE15" s="48">
        <f t="shared" si="2"/>
        <v>6</v>
      </c>
      <c r="IF15" s="48">
        <f t="shared" si="2"/>
        <v>6</v>
      </c>
      <c r="IG15" s="48">
        <f t="shared" si="2"/>
        <v>5</v>
      </c>
      <c r="IH15" s="48">
        <f t="shared" si="2"/>
        <v>6</v>
      </c>
      <c r="II15" s="48">
        <f t="shared" si="2"/>
        <v>6</v>
      </c>
      <c r="IJ15" s="48">
        <f t="shared" si="2"/>
        <v>6</v>
      </c>
      <c r="IK15" s="48">
        <f t="shared" si="2"/>
        <v>4</v>
      </c>
      <c r="IL15" s="48">
        <f t="shared" si="2"/>
        <v>6</v>
      </c>
      <c r="IM15" s="48">
        <f t="shared" si="2"/>
        <v>6</v>
      </c>
      <c r="IN15" s="48">
        <f t="shared" si="2"/>
        <v>5</v>
      </c>
      <c r="IO15" s="48">
        <f t="shared" si="2"/>
        <v>6</v>
      </c>
      <c r="IP15" s="48">
        <f t="shared" si="2"/>
        <v>6</v>
      </c>
      <c r="IQ15" s="48">
        <f t="shared" si="2"/>
        <v>6</v>
      </c>
      <c r="IR15" s="48">
        <f t="shared" si="2"/>
        <v>4</v>
      </c>
      <c r="IS15" s="48">
        <f t="shared" si="2"/>
        <v>6</v>
      </c>
      <c r="IT15" s="48">
        <f t="shared" si="2"/>
        <v>6</v>
      </c>
      <c r="IU15" s="48">
        <f t="shared" si="2"/>
        <v>5</v>
      </c>
      <c r="IV15" s="48">
        <f t="shared" si="2"/>
        <v>6</v>
      </c>
      <c r="IW15" s="48">
        <f t="shared" si="2"/>
        <v>6</v>
      </c>
      <c r="IX15" s="48">
        <f t="shared" si="2"/>
        <v>6</v>
      </c>
      <c r="IY15" s="48">
        <f t="shared" si="2"/>
        <v>4</v>
      </c>
      <c r="IZ15" s="48">
        <f t="shared" si="2"/>
        <v>6</v>
      </c>
      <c r="JA15" s="48">
        <f t="shared" si="2"/>
        <v>6</v>
      </c>
      <c r="JB15" s="48">
        <f t="shared" si="2"/>
        <v>5</v>
      </c>
      <c r="JC15" s="48">
        <f t="shared" si="2"/>
        <v>6</v>
      </c>
      <c r="JD15" s="48">
        <f t="shared" si="2"/>
        <v>6</v>
      </c>
      <c r="JE15" s="48">
        <f t="shared" si="2"/>
        <v>6</v>
      </c>
      <c r="JF15" s="48">
        <f t="shared" si="2"/>
        <v>4</v>
      </c>
      <c r="JG15" s="48">
        <f t="shared" si="2"/>
        <v>6</v>
      </c>
      <c r="JH15" s="48">
        <f t="shared" si="2"/>
        <v>6</v>
      </c>
      <c r="JI15" s="48">
        <f t="shared" si="2"/>
        <v>5</v>
      </c>
      <c r="JJ15" s="48">
        <f t="shared" si="2"/>
        <v>6</v>
      </c>
      <c r="JK15" s="48">
        <f t="shared" si="2"/>
        <v>6</v>
      </c>
      <c r="JL15" s="48">
        <f t="shared" si="2"/>
        <v>6</v>
      </c>
      <c r="JM15" s="48">
        <f t="shared" si="2"/>
        <v>4</v>
      </c>
      <c r="JN15" s="48">
        <f t="shared" si="2"/>
        <v>6</v>
      </c>
      <c r="JO15" s="48">
        <f t="shared" si="2"/>
        <v>6</v>
      </c>
      <c r="JP15" s="48">
        <f t="shared" si="2"/>
        <v>5</v>
      </c>
      <c r="JQ15" s="48">
        <f t="shared" si="2"/>
        <v>7</v>
      </c>
      <c r="JR15" s="48">
        <f t="shared" si="2"/>
        <v>7</v>
      </c>
      <c r="JS15" s="48">
        <f t="shared" si="2"/>
        <v>7</v>
      </c>
      <c r="JT15" s="48">
        <f t="shared" si="2"/>
        <v>5</v>
      </c>
      <c r="JU15" s="48">
        <f t="shared" si="2"/>
        <v>7</v>
      </c>
      <c r="JV15" s="48">
        <f t="shared" si="2"/>
        <v>7</v>
      </c>
      <c r="JW15" s="48">
        <f t="shared" si="2"/>
        <v>6</v>
      </c>
    </row>
    <row r="16" ht="13.5" customHeight="1">
      <c r="A16" s="20"/>
      <c r="B16" s="20"/>
      <c r="C16" s="20"/>
      <c r="D16" s="49"/>
      <c r="E16" s="44"/>
      <c r="F16" s="45"/>
      <c r="G16" s="44"/>
      <c r="H16" s="46"/>
      <c r="I16" s="45"/>
      <c r="J16" s="46"/>
      <c r="K16" s="44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  <c r="CT16" s="47"/>
      <c r="CU16" s="47"/>
      <c r="CV16" s="47"/>
      <c r="CW16" s="47"/>
      <c r="CX16" s="47"/>
      <c r="CY16" s="47"/>
      <c r="CZ16" s="47"/>
      <c r="DA16" s="47"/>
      <c r="DB16" s="47"/>
      <c r="DC16" s="47"/>
      <c r="DD16" s="47"/>
      <c r="DE16" s="47"/>
      <c r="DF16" s="47"/>
      <c r="DG16" s="47"/>
      <c r="DH16" s="50"/>
      <c r="DI16" s="47"/>
      <c r="DJ16" s="47"/>
      <c r="DK16" s="47"/>
      <c r="DL16" s="47"/>
      <c r="DM16" s="47"/>
      <c r="DN16" s="47"/>
      <c r="DO16" s="47"/>
      <c r="DP16" s="47"/>
      <c r="DQ16" s="47"/>
      <c r="DR16" s="47"/>
      <c r="DS16" s="47"/>
      <c r="DT16" s="47"/>
      <c r="DU16" s="47"/>
      <c r="DV16" s="47"/>
      <c r="DW16" s="47"/>
      <c r="DX16" s="47"/>
      <c r="DY16" s="47"/>
      <c r="DZ16" s="47"/>
      <c r="EA16" s="47"/>
      <c r="EB16" s="47"/>
      <c r="EC16" s="47"/>
      <c r="ED16" s="47"/>
      <c r="EE16" s="47"/>
      <c r="EF16" s="47"/>
      <c r="EG16" s="47"/>
      <c r="EH16" s="47"/>
      <c r="EI16" s="47"/>
      <c r="EJ16" s="47"/>
      <c r="EK16" s="47"/>
      <c r="EL16" s="47"/>
      <c r="EM16" s="47"/>
      <c r="EN16" s="47"/>
      <c r="EO16" s="47"/>
      <c r="EP16" s="47"/>
      <c r="EQ16" s="47"/>
      <c r="ER16" s="47"/>
      <c r="ES16" s="47"/>
      <c r="ET16" s="47"/>
      <c r="EU16" s="47"/>
      <c r="EV16" s="47"/>
      <c r="EW16" s="47"/>
      <c r="EX16" s="47"/>
      <c r="EY16" s="47"/>
      <c r="EZ16" s="47"/>
      <c r="FA16" s="47"/>
      <c r="FB16" s="47"/>
      <c r="FC16" s="47"/>
      <c r="FD16" s="47"/>
      <c r="FE16" s="47"/>
      <c r="FF16" s="47"/>
      <c r="FG16" s="47"/>
      <c r="FH16" s="47"/>
      <c r="FI16" s="47"/>
      <c r="FJ16" s="47"/>
      <c r="FK16" s="47"/>
      <c r="FL16" s="47"/>
      <c r="FM16" s="47"/>
      <c r="FN16" s="47"/>
      <c r="FO16" s="47"/>
      <c r="FP16" s="47"/>
      <c r="FQ16" s="47"/>
      <c r="FR16" s="47"/>
      <c r="FS16" s="47"/>
      <c r="FT16" s="47"/>
      <c r="FU16" s="47"/>
      <c r="FV16" s="47"/>
      <c r="FW16" s="47"/>
      <c r="FX16" s="47"/>
      <c r="FY16" s="47"/>
      <c r="FZ16" s="47"/>
      <c r="GA16" s="47"/>
      <c r="GB16" s="47"/>
      <c r="GC16" s="47"/>
      <c r="GD16" s="47"/>
      <c r="GE16" s="47"/>
      <c r="GF16" s="47"/>
      <c r="GG16" s="47"/>
      <c r="GH16" s="47"/>
      <c r="GI16" s="47"/>
      <c r="GJ16" s="47"/>
      <c r="GK16" s="47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</row>
    <row r="17" ht="13.5" customHeight="1">
      <c r="A17" s="20"/>
      <c r="B17" s="20"/>
      <c r="C17" s="20"/>
      <c r="D17" s="49"/>
      <c r="E17" s="44"/>
      <c r="F17" s="44"/>
      <c r="G17" s="44"/>
      <c r="H17" s="46"/>
      <c r="I17" s="45"/>
      <c r="J17" s="46"/>
      <c r="K17" s="45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51"/>
      <c r="BT17" s="47"/>
      <c r="BU17" s="47"/>
      <c r="BV17" s="47"/>
      <c r="BW17" s="47"/>
      <c r="BX17" s="47"/>
      <c r="BY17" s="47"/>
      <c r="BZ17" s="47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  <c r="CT17" s="47"/>
      <c r="CU17" s="47"/>
      <c r="CV17" s="47"/>
      <c r="CW17" s="47"/>
      <c r="CX17" s="47"/>
      <c r="CY17" s="47"/>
      <c r="CZ17" s="47"/>
      <c r="DA17" s="47"/>
      <c r="DB17" s="47"/>
      <c r="DC17" s="47"/>
      <c r="DD17" s="47"/>
      <c r="DE17" s="47"/>
      <c r="DF17" s="47"/>
      <c r="DG17" s="47"/>
      <c r="DH17" s="47"/>
      <c r="DI17" s="47"/>
      <c r="DJ17" s="47"/>
      <c r="DK17" s="47"/>
      <c r="DL17" s="47"/>
      <c r="DM17" s="47"/>
      <c r="DN17" s="47"/>
      <c r="DO17" s="47"/>
      <c r="DP17" s="47"/>
      <c r="DQ17" s="47"/>
      <c r="DR17" s="47"/>
      <c r="DS17" s="47"/>
      <c r="DT17" s="47"/>
      <c r="DU17" s="47"/>
      <c r="DV17" s="47"/>
      <c r="DW17" s="47"/>
      <c r="DX17" s="47"/>
      <c r="DY17" s="47"/>
      <c r="DZ17" s="47"/>
      <c r="EA17" s="47"/>
      <c r="EB17" s="47"/>
      <c r="EC17" s="47"/>
      <c r="ED17" s="47"/>
      <c r="EE17" s="47"/>
      <c r="EF17" s="47"/>
      <c r="EG17" s="47"/>
      <c r="EH17" s="47"/>
      <c r="EI17" s="47"/>
      <c r="EJ17" s="47"/>
      <c r="EK17" s="47"/>
      <c r="EL17" s="47"/>
      <c r="EM17" s="47"/>
      <c r="EN17" s="47"/>
      <c r="EO17" s="47"/>
      <c r="EP17" s="47"/>
      <c r="EQ17" s="47"/>
      <c r="ER17" s="47"/>
      <c r="ES17" s="47"/>
      <c r="ET17" s="47"/>
      <c r="EU17" s="47"/>
      <c r="EV17" s="47"/>
      <c r="EW17" s="47"/>
      <c r="EX17" s="47"/>
      <c r="EY17" s="47"/>
      <c r="EZ17" s="47"/>
      <c r="FA17" s="47"/>
      <c r="FB17" s="47"/>
      <c r="FC17" s="47"/>
      <c r="FD17" s="47"/>
      <c r="FE17" s="47"/>
      <c r="FF17" s="47"/>
      <c r="FG17" s="47"/>
      <c r="FH17" s="47"/>
      <c r="FI17" s="47"/>
      <c r="FJ17" s="47"/>
      <c r="FK17" s="47"/>
      <c r="FL17" s="47"/>
      <c r="FM17" s="47"/>
      <c r="FN17" s="47"/>
      <c r="FO17" s="47"/>
      <c r="FP17" s="47"/>
      <c r="FQ17" s="47"/>
      <c r="FR17" s="47"/>
      <c r="FS17" s="47"/>
      <c r="FT17" s="47"/>
      <c r="FU17" s="47"/>
      <c r="FV17" s="47"/>
      <c r="FW17" s="47"/>
      <c r="FX17" s="47"/>
      <c r="FY17" s="47"/>
      <c r="FZ17" s="47"/>
      <c r="GA17" s="47"/>
      <c r="GB17" s="47"/>
      <c r="GC17" s="47"/>
      <c r="GD17" s="47"/>
      <c r="GE17" s="47"/>
      <c r="GF17" s="47"/>
      <c r="GG17" s="47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7"/>
      <c r="IT17" s="47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</row>
    <row r="18" ht="13.5" customHeight="1">
      <c r="A18" s="1"/>
      <c r="B18" s="20"/>
      <c r="C18" s="20"/>
      <c r="D18" s="49"/>
      <c r="E18" s="52"/>
      <c r="F18" s="52"/>
      <c r="G18" s="52"/>
      <c r="H18" s="53"/>
      <c r="I18" s="54"/>
      <c r="J18" s="53"/>
      <c r="K18" s="52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  <c r="CF18" s="47"/>
      <c r="CG18" s="47"/>
      <c r="CH18" s="47"/>
      <c r="CI18" s="47"/>
      <c r="CJ18" s="47"/>
      <c r="CK18" s="47"/>
      <c r="CL18" s="47"/>
      <c r="CM18" s="47"/>
      <c r="CN18" s="47"/>
      <c r="CO18" s="47"/>
      <c r="CP18" s="47"/>
      <c r="CQ18" s="47"/>
      <c r="CR18" s="47"/>
      <c r="CS18" s="47"/>
      <c r="CT18" s="47"/>
      <c r="CU18" s="47"/>
      <c r="CV18" s="47"/>
      <c r="CW18" s="47"/>
      <c r="CX18" s="47"/>
      <c r="CY18" s="47"/>
      <c r="CZ18" s="47"/>
      <c r="DA18" s="47"/>
      <c r="DB18" s="47"/>
      <c r="DC18" s="47"/>
      <c r="DD18" s="47"/>
      <c r="DE18" s="47"/>
      <c r="DF18" s="47"/>
      <c r="DG18" s="47"/>
      <c r="DH18" s="50"/>
      <c r="DI18" s="47"/>
      <c r="DJ18" s="47"/>
      <c r="DK18" s="47"/>
      <c r="DL18" s="47"/>
      <c r="DM18" s="47"/>
      <c r="DN18" s="47"/>
      <c r="DO18" s="47"/>
      <c r="DP18" s="47"/>
      <c r="DQ18" s="47"/>
      <c r="DR18" s="47"/>
      <c r="DS18" s="47"/>
      <c r="DT18" s="47"/>
      <c r="DU18" s="47"/>
      <c r="DV18" s="47"/>
      <c r="DW18" s="47"/>
      <c r="DX18" s="47"/>
      <c r="DY18" s="47"/>
      <c r="DZ18" s="47"/>
      <c r="EA18" s="47"/>
      <c r="EB18" s="47"/>
      <c r="EC18" s="47"/>
      <c r="ED18" s="47"/>
      <c r="EE18" s="47"/>
      <c r="EF18" s="47"/>
      <c r="EG18" s="47"/>
      <c r="EH18" s="47"/>
      <c r="EI18" s="47"/>
      <c r="EJ18" s="47"/>
      <c r="EK18" s="47"/>
      <c r="EL18" s="47"/>
      <c r="EM18" s="47"/>
      <c r="EN18" s="47"/>
      <c r="EO18" s="47"/>
      <c r="EP18" s="47"/>
      <c r="EQ18" s="47"/>
      <c r="ER18" s="47"/>
      <c r="ES18" s="47"/>
      <c r="ET18" s="47"/>
      <c r="EU18" s="47"/>
      <c r="EV18" s="47"/>
      <c r="EW18" s="47"/>
      <c r="EX18" s="47"/>
      <c r="EY18" s="47"/>
      <c r="EZ18" s="47"/>
      <c r="FA18" s="47"/>
      <c r="FB18" s="47"/>
      <c r="FC18" s="47"/>
      <c r="FD18" s="47"/>
      <c r="FE18" s="47"/>
      <c r="FF18" s="47"/>
      <c r="FG18" s="47"/>
      <c r="FH18" s="47"/>
      <c r="FI18" s="47"/>
      <c r="FJ18" s="47"/>
      <c r="FK18" s="47"/>
      <c r="FL18" s="47"/>
      <c r="FM18" s="47"/>
      <c r="FN18" s="47"/>
      <c r="FO18" s="47"/>
      <c r="FP18" s="47"/>
      <c r="FQ18" s="47"/>
      <c r="FR18" s="47"/>
      <c r="FS18" s="47"/>
      <c r="FT18" s="47"/>
      <c r="FU18" s="47"/>
      <c r="FV18" s="47"/>
      <c r="FW18" s="47"/>
      <c r="FX18" s="47"/>
      <c r="FY18" s="47"/>
      <c r="FZ18" s="47"/>
      <c r="GA18" s="47"/>
      <c r="GB18" s="47"/>
      <c r="GC18" s="47"/>
      <c r="GD18" s="47"/>
      <c r="GE18" s="47"/>
      <c r="GF18" s="47"/>
      <c r="GG18" s="47"/>
      <c r="GH18" s="47"/>
      <c r="GI18" s="47"/>
      <c r="GJ18" s="47"/>
      <c r="GK18" s="47"/>
      <c r="GL18" s="47"/>
      <c r="GM18" s="47"/>
      <c r="GN18" s="47"/>
      <c r="GO18" s="47"/>
      <c r="GP18" s="47"/>
      <c r="GQ18" s="47"/>
      <c r="GR18" s="47"/>
      <c r="GS18" s="47"/>
      <c r="GT18" s="47"/>
      <c r="GU18" s="47"/>
      <c r="GV18" s="47"/>
      <c r="GW18" s="47"/>
      <c r="GX18" s="47"/>
      <c r="GY18" s="47"/>
      <c r="GZ18" s="47"/>
      <c r="HA18" s="47"/>
      <c r="HB18" s="47"/>
      <c r="HC18" s="47"/>
      <c r="HD18" s="47"/>
      <c r="HE18" s="47"/>
      <c r="HF18" s="47"/>
      <c r="HG18" s="47"/>
      <c r="HH18" s="47"/>
      <c r="HI18" s="47"/>
      <c r="HJ18" s="47"/>
      <c r="HK18" s="47"/>
      <c r="HL18" s="47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</row>
    <row r="19" ht="13.5" customHeight="1">
      <c r="A19" s="1"/>
      <c r="B19" s="20"/>
      <c r="C19" s="20"/>
      <c r="D19" s="53"/>
      <c r="E19" s="52"/>
      <c r="F19" s="52"/>
      <c r="G19" s="52"/>
      <c r="H19" s="53"/>
      <c r="I19" s="54"/>
      <c r="J19" s="53"/>
      <c r="K19" s="52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  <c r="BW19" s="47"/>
      <c r="BX19" s="47"/>
      <c r="BY19" s="47"/>
      <c r="BZ19" s="47"/>
      <c r="CA19" s="47"/>
      <c r="CB19" s="47"/>
      <c r="CC19" s="47"/>
      <c r="CD19" s="47"/>
      <c r="CE19" s="47"/>
      <c r="CF19" s="47"/>
      <c r="CG19" s="47"/>
      <c r="CH19" s="47"/>
      <c r="CI19" s="47"/>
      <c r="CJ19" s="47"/>
      <c r="CK19" s="47"/>
      <c r="CL19" s="47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47"/>
      <c r="DA19" s="47"/>
      <c r="DB19" s="47"/>
      <c r="DC19" s="47"/>
      <c r="DD19" s="47"/>
      <c r="DE19" s="47"/>
      <c r="DF19" s="47"/>
      <c r="DG19" s="47"/>
      <c r="DH19" s="50"/>
      <c r="DI19" s="47"/>
      <c r="DJ19" s="47"/>
      <c r="DK19" s="47"/>
      <c r="DL19" s="47"/>
      <c r="DM19" s="47"/>
      <c r="DN19" s="47"/>
      <c r="DO19" s="47"/>
      <c r="DP19" s="47"/>
      <c r="DQ19" s="47"/>
      <c r="DR19" s="47"/>
      <c r="DS19" s="47"/>
      <c r="DT19" s="47"/>
      <c r="DU19" s="47"/>
      <c r="DV19" s="47"/>
      <c r="DW19" s="47"/>
      <c r="DX19" s="47"/>
      <c r="DY19" s="47"/>
      <c r="DZ19" s="47"/>
      <c r="EA19" s="47"/>
      <c r="EB19" s="47"/>
      <c r="EC19" s="47"/>
      <c r="ED19" s="47"/>
      <c r="EE19" s="47"/>
      <c r="EF19" s="47"/>
      <c r="EG19" s="47"/>
      <c r="EH19" s="47"/>
      <c r="EI19" s="47"/>
      <c r="EJ19" s="47"/>
      <c r="EK19" s="47"/>
      <c r="EL19" s="47"/>
      <c r="EM19" s="47"/>
      <c r="EN19" s="47"/>
      <c r="EO19" s="47"/>
      <c r="EP19" s="47"/>
      <c r="EQ19" s="47"/>
      <c r="ER19" s="47"/>
      <c r="ES19" s="47"/>
      <c r="ET19" s="47"/>
      <c r="EU19" s="47"/>
      <c r="EV19" s="47"/>
      <c r="EW19" s="47"/>
      <c r="EX19" s="47"/>
      <c r="EY19" s="47"/>
      <c r="EZ19" s="47"/>
      <c r="FA19" s="47"/>
      <c r="FB19" s="47"/>
      <c r="FC19" s="47"/>
      <c r="FD19" s="47"/>
      <c r="FE19" s="47"/>
      <c r="FF19" s="47"/>
      <c r="FG19" s="47"/>
      <c r="FH19" s="47"/>
      <c r="FI19" s="47"/>
      <c r="FJ19" s="47"/>
      <c r="FK19" s="47"/>
      <c r="FL19" s="47"/>
      <c r="FM19" s="47"/>
      <c r="FN19" s="47"/>
      <c r="FO19" s="47"/>
      <c r="FP19" s="47"/>
      <c r="FQ19" s="47"/>
      <c r="FR19" s="47"/>
      <c r="FS19" s="47"/>
      <c r="FT19" s="47"/>
      <c r="FU19" s="47"/>
      <c r="FV19" s="47"/>
      <c r="FW19" s="47"/>
      <c r="FX19" s="47"/>
      <c r="FY19" s="47"/>
      <c r="FZ19" s="47"/>
      <c r="GA19" s="47"/>
      <c r="GB19" s="47"/>
      <c r="GC19" s="47"/>
      <c r="GD19" s="47"/>
      <c r="GE19" s="47"/>
      <c r="GF19" s="47"/>
      <c r="GG19" s="47"/>
      <c r="GH19" s="47"/>
      <c r="GI19" s="47"/>
      <c r="GJ19" s="47"/>
      <c r="GK19" s="47"/>
      <c r="GL19" s="47"/>
      <c r="GM19" s="47"/>
      <c r="GN19" s="47"/>
      <c r="GO19" s="47"/>
      <c r="GP19" s="47"/>
      <c r="GQ19" s="47"/>
      <c r="GR19" s="47"/>
      <c r="GS19" s="47"/>
      <c r="GT19" s="47"/>
      <c r="GU19" s="47"/>
      <c r="GV19" s="47"/>
      <c r="GW19" s="47"/>
      <c r="GX19" s="47"/>
      <c r="GY19" s="47"/>
      <c r="GZ19" s="47"/>
      <c r="HA19" s="47"/>
      <c r="HB19" s="47"/>
      <c r="HC19" s="47"/>
      <c r="HD19" s="47"/>
      <c r="HE19" s="47"/>
      <c r="HF19" s="47"/>
      <c r="HG19" s="47"/>
      <c r="HH19" s="47"/>
      <c r="HI19" s="47"/>
      <c r="HJ19" s="47"/>
      <c r="HK19" s="47"/>
      <c r="HL19" s="47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</row>
    <row r="20" ht="13.5" customHeight="1">
      <c r="A20" s="1"/>
      <c r="B20" s="20"/>
      <c r="C20" s="20"/>
      <c r="D20" s="53"/>
      <c r="E20" s="52"/>
      <c r="F20" s="52"/>
      <c r="G20" s="52"/>
      <c r="H20" s="53"/>
      <c r="I20" s="54"/>
      <c r="J20" s="53"/>
      <c r="K20" s="52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47"/>
      <c r="CG20" s="47"/>
      <c r="CH20" s="47"/>
      <c r="CI20" s="47"/>
      <c r="CJ20" s="47"/>
      <c r="CK20" s="47"/>
      <c r="CL20" s="47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47"/>
      <c r="DA20" s="47"/>
      <c r="DB20" s="47"/>
      <c r="DC20" s="47"/>
      <c r="DD20" s="47"/>
      <c r="DE20" s="47"/>
      <c r="DF20" s="47"/>
      <c r="DG20" s="47"/>
      <c r="DH20" s="50"/>
      <c r="DI20" s="47"/>
      <c r="DJ20" s="47"/>
      <c r="DK20" s="47"/>
      <c r="DL20" s="47"/>
      <c r="DM20" s="47"/>
      <c r="DN20" s="47"/>
      <c r="DO20" s="47"/>
      <c r="DP20" s="47"/>
      <c r="DQ20" s="47"/>
      <c r="DR20" s="47"/>
      <c r="DS20" s="47"/>
      <c r="DT20" s="47"/>
      <c r="DU20" s="47"/>
      <c r="DV20" s="47"/>
      <c r="DW20" s="47"/>
      <c r="DX20" s="47"/>
      <c r="DY20" s="47"/>
      <c r="DZ20" s="47"/>
      <c r="EA20" s="47"/>
      <c r="EB20" s="47"/>
      <c r="EC20" s="47"/>
      <c r="ED20" s="47"/>
      <c r="EE20" s="47"/>
      <c r="EF20" s="47"/>
      <c r="EG20" s="47"/>
      <c r="EH20" s="47"/>
      <c r="EI20" s="47"/>
      <c r="EJ20" s="47"/>
      <c r="EK20" s="47"/>
      <c r="EL20" s="47"/>
      <c r="EM20" s="47"/>
      <c r="EN20" s="47"/>
      <c r="EO20" s="47"/>
      <c r="EP20" s="47"/>
      <c r="EQ20" s="47"/>
      <c r="ER20" s="47"/>
      <c r="ES20" s="47"/>
      <c r="ET20" s="47"/>
      <c r="EU20" s="47"/>
      <c r="EV20" s="47"/>
      <c r="EW20" s="47"/>
      <c r="EX20" s="47"/>
      <c r="EY20" s="47"/>
      <c r="EZ20" s="47"/>
      <c r="FA20" s="47"/>
      <c r="FB20" s="47"/>
      <c r="FC20" s="47"/>
      <c r="FD20" s="47"/>
      <c r="FE20" s="47"/>
      <c r="FF20" s="47"/>
      <c r="FG20" s="47"/>
      <c r="FH20" s="47"/>
      <c r="FI20" s="47"/>
      <c r="FJ20" s="47"/>
      <c r="FK20" s="47"/>
      <c r="FL20" s="47"/>
      <c r="FM20" s="47"/>
      <c r="FN20" s="47"/>
      <c r="FO20" s="47"/>
      <c r="FP20" s="47"/>
      <c r="FQ20" s="47"/>
      <c r="FR20" s="47"/>
      <c r="FS20" s="47"/>
      <c r="FT20" s="47"/>
      <c r="FU20" s="47"/>
      <c r="FV20" s="47"/>
      <c r="FW20" s="47"/>
      <c r="FX20" s="47"/>
      <c r="FY20" s="47"/>
      <c r="FZ20" s="47"/>
      <c r="GA20" s="47"/>
      <c r="GB20" s="47"/>
      <c r="GC20" s="47"/>
      <c r="GD20" s="47"/>
      <c r="GE20" s="47"/>
      <c r="GF20" s="47"/>
      <c r="GG20" s="47"/>
      <c r="GH20" s="47"/>
      <c r="GI20" s="47"/>
      <c r="GJ20" s="47"/>
      <c r="GK20" s="47"/>
      <c r="GL20" s="47"/>
      <c r="GM20" s="47"/>
      <c r="GN20" s="47"/>
      <c r="GO20" s="47"/>
      <c r="GP20" s="47"/>
      <c r="GQ20" s="47"/>
      <c r="GR20" s="47"/>
      <c r="GS20" s="47"/>
      <c r="GT20" s="47"/>
      <c r="GU20" s="47"/>
      <c r="GV20" s="47"/>
      <c r="GW20" s="47"/>
      <c r="GX20" s="47"/>
      <c r="GY20" s="47"/>
      <c r="GZ20" s="47"/>
      <c r="HA20" s="47"/>
      <c r="HB20" s="47"/>
      <c r="HC20" s="47"/>
      <c r="HD20" s="47"/>
      <c r="HE20" s="47"/>
      <c r="HF20" s="47"/>
      <c r="HG20" s="47"/>
      <c r="HH20" s="47"/>
      <c r="HI20" s="47"/>
      <c r="HJ20" s="47"/>
      <c r="HK20" s="47"/>
      <c r="HL20" s="47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</row>
    <row r="21" ht="13.5" customHeight="1">
      <c r="A21" s="1"/>
      <c r="B21" s="20"/>
      <c r="C21" s="20"/>
      <c r="D21" s="53"/>
      <c r="E21" s="52"/>
      <c r="F21" s="52"/>
      <c r="G21" s="52"/>
      <c r="H21" s="53"/>
      <c r="I21" s="54"/>
      <c r="J21" s="53"/>
      <c r="K21" s="52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  <c r="BW21" s="47"/>
      <c r="BX21" s="47"/>
      <c r="BY21" s="47"/>
      <c r="BZ21" s="47"/>
      <c r="CA21" s="47"/>
      <c r="CB21" s="47"/>
      <c r="CC21" s="47"/>
      <c r="CD21" s="47"/>
      <c r="CE21" s="47"/>
      <c r="CF21" s="47"/>
      <c r="CG21" s="47"/>
      <c r="CH21" s="47"/>
      <c r="CI21" s="47"/>
      <c r="CJ21" s="47"/>
      <c r="CK21" s="47"/>
      <c r="CL21" s="47"/>
      <c r="CM21" s="47"/>
      <c r="CN21" s="47"/>
      <c r="CO21" s="47"/>
      <c r="CP21" s="47"/>
      <c r="CQ21" s="47"/>
      <c r="CR21" s="47"/>
      <c r="CS21" s="47"/>
      <c r="CT21" s="47"/>
      <c r="CU21" s="47"/>
      <c r="CV21" s="47"/>
      <c r="CW21" s="47"/>
      <c r="CX21" s="47"/>
      <c r="CY21" s="47"/>
      <c r="CZ21" s="47"/>
      <c r="DA21" s="47"/>
      <c r="DB21" s="47"/>
      <c r="DC21" s="47"/>
      <c r="DD21" s="47"/>
      <c r="DE21" s="47"/>
      <c r="DF21" s="47"/>
      <c r="DG21" s="47"/>
      <c r="DH21" s="50"/>
      <c r="DI21" s="47"/>
      <c r="DJ21" s="47"/>
      <c r="DK21" s="47"/>
      <c r="DL21" s="47"/>
      <c r="DM21" s="47"/>
      <c r="DN21" s="47"/>
      <c r="DO21" s="47"/>
      <c r="DP21" s="47"/>
      <c r="DQ21" s="47"/>
      <c r="DR21" s="47"/>
      <c r="DS21" s="47"/>
      <c r="DT21" s="47"/>
      <c r="DU21" s="47"/>
      <c r="DV21" s="47"/>
      <c r="DW21" s="47"/>
      <c r="DX21" s="47"/>
      <c r="DY21" s="47"/>
      <c r="DZ21" s="47"/>
      <c r="EA21" s="47"/>
      <c r="EB21" s="47"/>
      <c r="EC21" s="47"/>
      <c r="ED21" s="47"/>
      <c r="EE21" s="47"/>
      <c r="EF21" s="47"/>
      <c r="EG21" s="47"/>
      <c r="EH21" s="47"/>
      <c r="EI21" s="47"/>
      <c r="EJ21" s="47"/>
      <c r="EK21" s="47"/>
      <c r="EL21" s="47"/>
      <c r="EM21" s="47"/>
      <c r="EN21" s="47"/>
      <c r="EO21" s="47"/>
      <c r="EP21" s="47"/>
      <c r="EQ21" s="47"/>
      <c r="ER21" s="47"/>
      <c r="ES21" s="47"/>
      <c r="ET21" s="47"/>
      <c r="EU21" s="47"/>
      <c r="EV21" s="47"/>
      <c r="EW21" s="47"/>
      <c r="EX21" s="47"/>
      <c r="EY21" s="47"/>
      <c r="EZ21" s="47"/>
      <c r="FA21" s="47"/>
      <c r="FB21" s="47"/>
      <c r="FC21" s="47"/>
      <c r="FD21" s="47"/>
      <c r="FE21" s="47"/>
      <c r="FF21" s="47"/>
      <c r="FG21" s="47"/>
      <c r="FH21" s="47"/>
      <c r="FI21" s="47"/>
      <c r="FJ21" s="47"/>
      <c r="FK21" s="47"/>
      <c r="FL21" s="47"/>
      <c r="FM21" s="47"/>
      <c r="FN21" s="47"/>
      <c r="FO21" s="47"/>
      <c r="FP21" s="47"/>
      <c r="FQ21" s="47"/>
      <c r="FR21" s="47"/>
      <c r="FS21" s="47"/>
      <c r="FT21" s="47"/>
      <c r="FU21" s="47"/>
      <c r="FV21" s="47"/>
      <c r="FW21" s="47"/>
      <c r="FX21" s="47"/>
      <c r="FY21" s="47"/>
      <c r="FZ21" s="47"/>
      <c r="GA21" s="47"/>
      <c r="GB21" s="47"/>
      <c r="GC21" s="47"/>
      <c r="GD21" s="47"/>
      <c r="GE21" s="47"/>
      <c r="GF21" s="47"/>
      <c r="GG21" s="47"/>
      <c r="GH21" s="47"/>
      <c r="GI21" s="47"/>
      <c r="GJ21" s="47"/>
      <c r="GK21" s="47"/>
      <c r="GL21" s="47"/>
      <c r="GM21" s="47"/>
      <c r="GN21" s="47"/>
      <c r="GO21" s="47"/>
      <c r="GP21" s="47"/>
      <c r="GQ21" s="47"/>
      <c r="GR21" s="47"/>
      <c r="GS21" s="47"/>
      <c r="GT21" s="47"/>
      <c r="GU21" s="47"/>
      <c r="GV21" s="47"/>
      <c r="GW21" s="47"/>
      <c r="GX21" s="47"/>
      <c r="GY21" s="47"/>
      <c r="GZ21" s="47"/>
      <c r="HA21" s="47"/>
      <c r="HB21" s="47"/>
      <c r="HC21" s="47"/>
      <c r="HD21" s="47"/>
      <c r="HE21" s="47"/>
      <c r="HF21" s="47"/>
      <c r="HG21" s="47"/>
      <c r="HH21" s="47"/>
      <c r="HI21" s="47"/>
      <c r="HJ21" s="47"/>
      <c r="HK21" s="47"/>
      <c r="HL21" s="47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</row>
    <row r="22" ht="13.5" customHeight="1">
      <c r="A22" s="1"/>
      <c r="B22" s="20"/>
      <c r="C22" s="20"/>
      <c r="D22" s="53"/>
      <c r="E22" s="52"/>
      <c r="F22" s="52"/>
      <c r="G22" s="52"/>
      <c r="H22" s="53"/>
      <c r="I22" s="54"/>
      <c r="J22" s="53"/>
      <c r="K22" s="52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  <c r="CF22" s="47"/>
      <c r="CG22" s="47"/>
      <c r="CH22" s="47"/>
      <c r="CI22" s="47"/>
      <c r="CJ22" s="47"/>
      <c r="CK22" s="47"/>
      <c r="CL22" s="47"/>
      <c r="CM22" s="47"/>
      <c r="CN22" s="47"/>
      <c r="CO22" s="47"/>
      <c r="CP22" s="47"/>
      <c r="CQ22" s="47"/>
      <c r="CR22" s="47"/>
      <c r="CS22" s="47"/>
      <c r="CT22" s="47"/>
      <c r="CU22" s="47"/>
      <c r="CV22" s="47"/>
      <c r="CW22" s="47"/>
      <c r="CX22" s="47"/>
      <c r="CY22" s="47"/>
      <c r="CZ22" s="47"/>
      <c r="DA22" s="47"/>
      <c r="DB22" s="47"/>
      <c r="DC22" s="47"/>
      <c r="DD22" s="47"/>
      <c r="DE22" s="47"/>
      <c r="DF22" s="47"/>
      <c r="DG22" s="47"/>
      <c r="DH22" s="50"/>
      <c r="DI22" s="47"/>
      <c r="DJ22" s="47"/>
      <c r="DK22" s="47"/>
      <c r="DL22" s="47"/>
      <c r="DM22" s="47"/>
      <c r="DN22" s="47"/>
      <c r="DO22" s="47"/>
      <c r="DP22" s="47"/>
      <c r="DQ22" s="47"/>
      <c r="DR22" s="47"/>
      <c r="DS22" s="47"/>
      <c r="DT22" s="47"/>
      <c r="DU22" s="47"/>
      <c r="DV22" s="47"/>
      <c r="DW22" s="47"/>
      <c r="DX22" s="47"/>
      <c r="DY22" s="47"/>
      <c r="DZ22" s="47"/>
      <c r="EA22" s="47"/>
      <c r="EB22" s="47"/>
      <c r="EC22" s="47"/>
      <c r="ED22" s="47"/>
      <c r="EE22" s="47"/>
      <c r="EF22" s="47"/>
      <c r="EG22" s="47"/>
      <c r="EH22" s="47"/>
      <c r="EI22" s="47"/>
      <c r="EJ22" s="47"/>
      <c r="EK22" s="47"/>
      <c r="EL22" s="47"/>
      <c r="EM22" s="47"/>
      <c r="EN22" s="47"/>
      <c r="EO22" s="47"/>
      <c r="EP22" s="47"/>
      <c r="EQ22" s="47"/>
      <c r="ER22" s="47"/>
      <c r="ES22" s="47"/>
      <c r="ET22" s="47"/>
      <c r="EU22" s="47"/>
      <c r="EV22" s="47"/>
      <c r="EW22" s="47"/>
      <c r="EX22" s="47"/>
      <c r="EY22" s="47"/>
      <c r="EZ22" s="47"/>
      <c r="FA22" s="47"/>
      <c r="FB22" s="47"/>
      <c r="FC22" s="47"/>
      <c r="FD22" s="47"/>
      <c r="FE22" s="47"/>
      <c r="FF22" s="47"/>
      <c r="FG22" s="47"/>
      <c r="FH22" s="47"/>
      <c r="FI22" s="47"/>
      <c r="FJ22" s="47"/>
      <c r="FK22" s="47"/>
      <c r="FL22" s="47"/>
      <c r="FM22" s="47"/>
      <c r="FN22" s="47"/>
      <c r="FO22" s="47"/>
      <c r="FP22" s="47"/>
      <c r="FQ22" s="47"/>
      <c r="FR22" s="47"/>
      <c r="FS22" s="47"/>
      <c r="FT22" s="47"/>
      <c r="FU22" s="47"/>
      <c r="FV22" s="47"/>
      <c r="FW22" s="47"/>
      <c r="FX22" s="47"/>
      <c r="FY22" s="47"/>
      <c r="FZ22" s="47"/>
      <c r="GA22" s="47"/>
      <c r="GB22" s="47"/>
      <c r="GC22" s="47"/>
      <c r="GD22" s="47"/>
      <c r="GE22" s="47"/>
      <c r="GF22" s="47"/>
      <c r="GG22" s="47"/>
      <c r="GH22" s="47"/>
      <c r="GI22" s="47"/>
      <c r="GJ22" s="47"/>
      <c r="GK22" s="47"/>
      <c r="GL22" s="47"/>
      <c r="GM22" s="47"/>
      <c r="GN22" s="47"/>
      <c r="GO22" s="47"/>
      <c r="GP22" s="47"/>
      <c r="GQ22" s="47"/>
      <c r="GR22" s="47"/>
      <c r="GS22" s="47"/>
      <c r="GT22" s="47"/>
      <c r="GU22" s="47"/>
      <c r="GV22" s="47"/>
      <c r="GW22" s="47"/>
      <c r="GX22" s="47"/>
      <c r="GY22" s="47"/>
      <c r="GZ22" s="47"/>
      <c r="HA22" s="47"/>
      <c r="HB22" s="47"/>
      <c r="HC22" s="47"/>
      <c r="HD22" s="47"/>
      <c r="HE22" s="47"/>
      <c r="HF22" s="47"/>
      <c r="HG22" s="47"/>
      <c r="HH22" s="47"/>
      <c r="HI22" s="47"/>
      <c r="HJ22" s="47"/>
      <c r="HK22" s="47"/>
      <c r="HL22" s="47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</row>
    <row r="23" ht="13.5" customHeight="1">
      <c r="A23" s="1"/>
      <c r="B23" s="20"/>
      <c r="C23" s="20"/>
      <c r="D23" s="53"/>
      <c r="E23" s="52"/>
      <c r="F23" s="52"/>
      <c r="G23" s="52"/>
      <c r="H23" s="53"/>
      <c r="I23" s="54"/>
      <c r="J23" s="53"/>
      <c r="K23" s="52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7"/>
      <c r="CD23" s="47"/>
      <c r="CE23" s="47"/>
      <c r="CF23" s="47"/>
      <c r="CG23" s="47"/>
      <c r="CH23" s="47"/>
      <c r="CI23" s="47"/>
      <c r="CJ23" s="47"/>
      <c r="CK23" s="47"/>
      <c r="CL23" s="47"/>
      <c r="CM23" s="47"/>
      <c r="CN23" s="47"/>
      <c r="CO23" s="47"/>
      <c r="CP23" s="47"/>
      <c r="CQ23" s="47"/>
      <c r="CR23" s="47"/>
      <c r="CS23" s="47"/>
      <c r="CT23" s="47"/>
      <c r="CU23" s="47"/>
      <c r="CV23" s="47"/>
      <c r="CW23" s="47"/>
      <c r="CX23" s="47"/>
      <c r="CY23" s="47"/>
      <c r="CZ23" s="47"/>
      <c r="DA23" s="47"/>
      <c r="DB23" s="47"/>
      <c r="DC23" s="47"/>
      <c r="DD23" s="47"/>
      <c r="DE23" s="47"/>
      <c r="DF23" s="47"/>
      <c r="DG23" s="47"/>
      <c r="DH23" s="50"/>
      <c r="DI23" s="47"/>
      <c r="DJ23" s="47"/>
      <c r="DK23" s="47"/>
      <c r="DL23" s="47"/>
      <c r="DM23" s="47"/>
      <c r="DN23" s="47"/>
      <c r="DO23" s="47"/>
      <c r="DP23" s="47"/>
      <c r="DQ23" s="47"/>
      <c r="DR23" s="47"/>
      <c r="DS23" s="47"/>
      <c r="DT23" s="47"/>
      <c r="DU23" s="47"/>
      <c r="DV23" s="47"/>
      <c r="DW23" s="47"/>
      <c r="DX23" s="47"/>
      <c r="DY23" s="47"/>
      <c r="DZ23" s="47"/>
      <c r="EA23" s="47"/>
      <c r="EB23" s="47"/>
      <c r="EC23" s="47"/>
      <c r="ED23" s="47"/>
      <c r="EE23" s="47"/>
      <c r="EF23" s="47"/>
      <c r="EG23" s="47"/>
      <c r="EH23" s="47"/>
      <c r="EI23" s="47"/>
      <c r="EJ23" s="47"/>
      <c r="EK23" s="47"/>
      <c r="EL23" s="47"/>
      <c r="EM23" s="47"/>
      <c r="EN23" s="47"/>
      <c r="EO23" s="47"/>
      <c r="EP23" s="47"/>
      <c r="EQ23" s="47"/>
      <c r="ER23" s="47"/>
      <c r="ES23" s="47"/>
      <c r="ET23" s="47"/>
      <c r="EU23" s="47"/>
      <c r="EV23" s="47"/>
      <c r="EW23" s="47"/>
      <c r="EX23" s="47"/>
      <c r="EY23" s="47"/>
      <c r="EZ23" s="47"/>
      <c r="FA23" s="47"/>
      <c r="FB23" s="47"/>
      <c r="FC23" s="47"/>
      <c r="FD23" s="47"/>
      <c r="FE23" s="47"/>
      <c r="FF23" s="47"/>
      <c r="FG23" s="47"/>
      <c r="FH23" s="47"/>
      <c r="FI23" s="47"/>
      <c r="FJ23" s="47"/>
      <c r="FK23" s="47"/>
      <c r="FL23" s="47"/>
      <c r="FM23" s="47"/>
      <c r="FN23" s="47"/>
      <c r="FO23" s="47"/>
      <c r="FP23" s="47"/>
      <c r="FQ23" s="47"/>
      <c r="FR23" s="47"/>
      <c r="FS23" s="47"/>
      <c r="FT23" s="47"/>
      <c r="FU23" s="47"/>
      <c r="FV23" s="47"/>
      <c r="FW23" s="47"/>
      <c r="FX23" s="47"/>
      <c r="FY23" s="47"/>
      <c r="FZ23" s="47"/>
      <c r="GA23" s="47"/>
      <c r="GB23" s="47"/>
      <c r="GC23" s="47"/>
      <c r="GD23" s="47"/>
      <c r="GE23" s="47"/>
      <c r="GF23" s="47"/>
      <c r="GG23" s="47"/>
      <c r="GH23" s="47"/>
      <c r="GI23" s="47"/>
      <c r="GJ23" s="47"/>
      <c r="GK23" s="47"/>
      <c r="GL23" s="47"/>
      <c r="GM23" s="47"/>
      <c r="GN23" s="47"/>
      <c r="GO23" s="47"/>
      <c r="GP23" s="47"/>
      <c r="GQ23" s="47"/>
      <c r="GR23" s="47"/>
      <c r="GS23" s="47"/>
      <c r="GT23" s="47"/>
      <c r="GU23" s="47"/>
      <c r="GV23" s="47"/>
      <c r="GW23" s="47"/>
      <c r="GX23" s="47"/>
      <c r="GY23" s="47"/>
      <c r="GZ23" s="47"/>
      <c r="HA23" s="47"/>
      <c r="HB23" s="47"/>
      <c r="HC23" s="47"/>
      <c r="HD23" s="47"/>
      <c r="HE23" s="47"/>
      <c r="HF23" s="47"/>
      <c r="HG23" s="47"/>
      <c r="HH23" s="47"/>
      <c r="HI23" s="47"/>
      <c r="HJ23" s="47"/>
      <c r="HK23" s="47"/>
      <c r="HL23" s="47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</row>
    <row r="24" ht="13.5" customHeight="1">
      <c r="A24" s="1"/>
      <c r="B24" s="20"/>
      <c r="C24" s="20"/>
      <c r="D24" s="6"/>
      <c r="E24" s="55"/>
      <c r="F24" s="56"/>
      <c r="G24" s="56"/>
      <c r="H24" s="57"/>
      <c r="I24" s="52"/>
      <c r="J24" s="53"/>
      <c r="K24" s="58" t="s">
        <v>33</v>
      </c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  <c r="BW24" s="59"/>
      <c r="BX24" s="59"/>
      <c r="BY24" s="59"/>
      <c r="BZ24" s="59"/>
      <c r="CA24" s="59"/>
      <c r="CB24" s="59"/>
      <c r="CC24" s="59"/>
      <c r="CD24" s="60"/>
      <c r="CE24" s="59"/>
      <c r="CF24" s="59"/>
      <c r="CG24" s="59"/>
      <c r="CH24" s="59"/>
      <c r="CI24" s="59"/>
      <c r="CJ24" s="59"/>
      <c r="CK24" s="59"/>
      <c r="CL24" s="59"/>
      <c r="CM24" s="59"/>
      <c r="CN24" s="59"/>
      <c r="CO24" s="59"/>
      <c r="CP24" s="59"/>
      <c r="CQ24" s="59"/>
      <c r="CR24" s="59"/>
      <c r="CS24" s="59"/>
      <c r="CT24" s="59"/>
      <c r="CU24" s="59"/>
      <c r="CV24" s="59"/>
      <c r="CW24" s="59"/>
      <c r="CX24" s="59"/>
      <c r="CY24" s="59"/>
      <c r="CZ24" s="59"/>
      <c r="DA24" s="59"/>
      <c r="DB24" s="59"/>
      <c r="DC24" s="59"/>
      <c r="DD24" s="59"/>
      <c r="DE24" s="59"/>
      <c r="DF24" s="59"/>
      <c r="DG24" s="59"/>
      <c r="DH24" s="61"/>
      <c r="DI24" s="59"/>
      <c r="DJ24" s="59"/>
      <c r="DK24" s="59"/>
      <c r="DL24" s="59"/>
      <c r="DM24" s="59"/>
      <c r="DN24" s="59"/>
      <c r="DO24" s="59"/>
      <c r="DP24" s="59"/>
      <c r="DQ24" s="59"/>
      <c r="DR24" s="59"/>
      <c r="DS24" s="59"/>
      <c r="DT24" s="59"/>
      <c r="DU24" s="59"/>
      <c r="DV24" s="59"/>
      <c r="DW24" s="59"/>
      <c r="DX24" s="59"/>
      <c r="DY24" s="59"/>
      <c r="DZ24" s="59"/>
      <c r="EA24" s="59"/>
      <c r="EB24" s="59"/>
      <c r="EC24" s="59"/>
      <c r="ED24" s="59"/>
      <c r="EE24" s="59"/>
      <c r="EF24" s="59"/>
      <c r="EG24" s="59"/>
      <c r="EH24" s="59"/>
      <c r="EI24" s="59"/>
      <c r="EJ24" s="59"/>
      <c r="EK24" s="59"/>
      <c r="EL24" s="59"/>
      <c r="EM24" s="59"/>
      <c r="EN24" s="59"/>
      <c r="EO24" s="59"/>
      <c r="EP24" s="59"/>
      <c r="EQ24" s="59"/>
      <c r="ER24" s="59"/>
      <c r="ES24" s="59"/>
      <c r="ET24" s="59"/>
      <c r="EU24" s="59"/>
      <c r="EV24" s="59"/>
      <c r="EW24" s="59"/>
      <c r="EX24" s="59"/>
      <c r="EY24" s="59"/>
      <c r="EZ24" s="59"/>
      <c r="FA24" s="59"/>
      <c r="FB24" s="59"/>
      <c r="FC24" s="59"/>
      <c r="FD24" s="59"/>
      <c r="FE24" s="59"/>
      <c r="FF24" s="59"/>
      <c r="FG24" s="59"/>
      <c r="FH24" s="59"/>
      <c r="FI24" s="59">
        <f t="shared" ref="FI24:GK24" si="3">+COUNTIFS(#REF!,"DIRECTO",#REF!,"1")+COUNTIFS(#REF!,"DIRECTO",#REF!,"S")</f>
        <v>0</v>
      </c>
      <c r="FJ24" s="59">
        <f t="shared" si="3"/>
        <v>0</v>
      </c>
      <c r="FK24" s="59">
        <f t="shared" si="3"/>
        <v>0</v>
      </c>
      <c r="FL24" s="59">
        <f t="shared" si="3"/>
        <v>0</v>
      </c>
      <c r="FM24" s="59">
        <f t="shared" si="3"/>
        <v>0</v>
      </c>
      <c r="FN24" s="59">
        <f t="shared" si="3"/>
        <v>0</v>
      </c>
      <c r="FO24" s="59">
        <f t="shared" si="3"/>
        <v>0</v>
      </c>
      <c r="FP24" s="59">
        <f t="shared" si="3"/>
        <v>0</v>
      </c>
      <c r="FQ24" s="59">
        <f t="shared" si="3"/>
        <v>0</v>
      </c>
      <c r="FR24" s="59">
        <f t="shared" si="3"/>
        <v>0</v>
      </c>
      <c r="FS24" s="59">
        <f t="shared" si="3"/>
        <v>0</v>
      </c>
      <c r="FT24" s="59">
        <f t="shared" si="3"/>
        <v>0</v>
      </c>
      <c r="FU24" s="59">
        <f t="shared" si="3"/>
        <v>0</v>
      </c>
      <c r="FV24" s="59">
        <f t="shared" si="3"/>
        <v>0</v>
      </c>
      <c r="FW24" s="59">
        <f t="shared" si="3"/>
        <v>0</v>
      </c>
      <c r="FX24" s="59">
        <f t="shared" si="3"/>
        <v>0</v>
      </c>
      <c r="FY24" s="59">
        <f t="shared" si="3"/>
        <v>0</v>
      </c>
      <c r="FZ24" s="59">
        <f t="shared" si="3"/>
        <v>0</v>
      </c>
      <c r="GA24" s="59">
        <f t="shared" si="3"/>
        <v>0</v>
      </c>
      <c r="GB24" s="59">
        <f t="shared" si="3"/>
        <v>0</v>
      </c>
      <c r="GC24" s="59">
        <f t="shared" si="3"/>
        <v>0</v>
      </c>
      <c r="GD24" s="59">
        <f t="shared" si="3"/>
        <v>0</v>
      </c>
      <c r="GE24" s="59">
        <f t="shared" si="3"/>
        <v>0</v>
      </c>
      <c r="GF24" s="59">
        <f t="shared" si="3"/>
        <v>0</v>
      </c>
      <c r="GG24" s="59">
        <f t="shared" si="3"/>
        <v>0</v>
      </c>
      <c r="GH24" s="59">
        <f t="shared" si="3"/>
        <v>0</v>
      </c>
      <c r="GI24" s="62">
        <f t="shared" si="3"/>
        <v>0</v>
      </c>
      <c r="GJ24" s="62">
        <f t="shared" si="3"/>
        <v>0</v>
      </c>
      <c r="GK24" s="62">
        <f t="shared" si="3"/>
        <v>0</v>
      </c>
      <c r="GL24" s="63"/>
      <c r="GM24" s="63"/>
      <c r="GN24" s="63"/>
      <c r="GO24" s="63"/>
      <c r="GP24" s="63"/>
      <c r="GQ24" s="63"/>
      <c r="GR24" s="63"/>
      <c r="GS24" s="63"/>
      <c r="GT24" s="63"/>
      <c r="GU24" s="63"/>
      <c r="GV24" s="63"/>
      <c r="GW24" s="63"/>
      <c r="GX24" s="63"/>
      <c r="GY24" s="63"/>
      <c r="GZ24" s="63"/>
      <c r="HA24" s="63"/>
      <c r="HB24" s="63"/>
      <c r="HC24" s="63"/>
      <c r="HD24" s="63"/>
      <c r="HE24" s="63"/>
      <c r="HF24" s="63"/>
      <c r="HG24" s="63"/>
      <c r="HH24" s="63"/>
      <c r="HI24" s="63"/>
      <c r="HJ24" s="63"/>
      <c r="HK24" s="63"/>
      <c r="HL24" s="63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</row>
    <row r="25" ht="13.5" customHeight="1">
      <c r="A25" s="1"/>
      <c r="D25" s="6"/>
      <c r="E25" s="64"/>
      <c r="F25" s="65"/>
      <c r="G25" s="5"/>
      <c r="H25" s="2"/>
      <c r="I25" s="66"/>
      <c r="J25" s="6"/>
      <c r="K25" s="58" t="s">
        <v>34</v>
      </c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7"/>
      <c r="CA25" s="67"/>
      <c r="CB25" s="67"/>
      <c r="CC25" s="67"/>
      <c r="CD25" s="27"/>
      <c r="CE25" s="67"/>
      <c r="CF25" s="67"/>
      <c r="CG25" s="67"/>
      <c r="CH25" s="67"/>
      <c r="CI25" s="67"/>
      <c r="CJ25" s="67"/>
      <c r="CK25" s="67"/>
      <c r="CL25" s="67"/>
      <c r="CM25" s="67"/>
      <c r="CN25" s="67"/>
      <c r="CO25" s="67"/>
      <c r="CP25" s="67"/>
      <c r="CQ25" s="67"/>
      <c r="CR25" s="67"/>
      <c r="CS25" s="67"/>
      <c r="CT25" s="67"/>
      <c r="CU25" s="67"/>
      <c r="CV25" s="67"/>
      <c r="CW25" s="67"/>
      <c r="CX25" s="67"/>
      <c r="CY25" s="67"/>
      <c r="CZ25" s="67"/>
      <c r="DA25" s="67"/>
      <c r="DB25" s="67"/>
      <c r="DC25" s="67"/>
      <c r="DD25" s="67"/>
      <c r="DE25" s="67"/>
      <c r="DF25" s="67"/>
      <c r="DG25" s="67"/>
      <c r="DH25" s="68"/>
      <c r="DI25" s="67"/>
      <c r="DJ25" s="67"/>
      <c r="DK25" s="67"/>
      <c r="DL25" s="67"/>
      <c r="DM25" s="67"/>
      <c r="DN25" s="67"/>
      <c r="DO25" s="67"/>
      <c r="DP25" s="67"/>
      <c r="DQ25" s="67"/>
      <c r="DR25" s="67"/>
      <c r="DS25" s="67"/>
      <c r="DT25" s="67"/>
      <c r="DU25" s="67"/>
      <c r="DV25" s="67"/>
      <c r="DW25" s="67"/>
      <c r="DX25" s="67"/>
      <c r="DY25" s="67"/>
      <c r="DZ25" s="67"/>
      <c r="EA25" s="67"/>
      <c r="EB25" s="67"/>
      <c r="EC25" s="67"/>
      <c r="ED25" s="67"/>
      <c r="EE25" s="67"/>
      <c r="EF25" s="67"/>
      <c r="EG25" s="67"/>
      <c r="EH25" s="67"/>
      <c r="EI25" s="67"/>
      <c r="EJ25" s="67"/>
      <c r="EK25" s="67"/>
      <c r="EL25" s="67"/>
      <c r="EM25" s="67"/>
      <c r="EN25" s="67"/>
      <c r="EO25" s="67"/>
      <c r="EP25" s="67"/>
      <c r="EQ25" s="67"/>
      <c r="ER25" s="67"/>
      <c r="ES25" s="67"/>
      <c r="ET25" s="67"/>
      <c r="EU25" s="67"/>
      <c r="EV25" s="67"/>
      <c r="EW25" s="67"/>
      <c r="EX25" s="67"/>
      <c r="EY25" s="67"/>
      <c r="EZ25" s="67"/>
      <c r="FA25" s="67"/>
      <c r="FB25" s="67"/>
      <c r="FC25" s="67"/>
      <c r="FD25" s="67"/>
      <c r="FE25" s="67"/>
      <c r="FF25" s="67"/>
      <c r="FG25" s="67"/>
      <c r="FH25" s="67"/>
      <c r="FI25" s="67">
        <f t="shared" ref="FI25:GK25" si="4">+COUNTIFS(#REF!,"INDIRECTO",#REF!,"1")+COUNTIFS(#REF!,"INDIRECTO",#REF!,"S")</f>
        <v>0</v>
      </c>
      <c r="FJ25" s="67">
        <f t="shared" si="4"/>
        <v>0</v>
      </c>
      <c r="FK25" s="67">
        <f t="shared" si="4"/>
        <v>0</v>
      </c>
      <c r="FL25" s="67">
        <f t="shared" si="4"/>
        <v>0</v>
      </c>
      <c r="FM25" s="67">
        <f t="shared" si="4"/>
        <v>0</v>
      </c>
      <c r="FN25" s="67">
        <f t="shared" si="4"/>
        <v>0</v>
      </c>
      <c r="FO25" s="67">
        <f t="shared" si="4"/>
        <v>0</v>
      </c>
      <c r="FP25" s="67">
        <f t="shared" si="4"/>
        <v>0</v>
      </c>
      <c r="FQ25" s="67">
        <f t="shared" si="4"/>
        <v>0</v>
      </c>
      <c r="FR25" s="67">
        <f t="shared" si="4"/>
        <v>0</v>
      </c>
      <c r="FS25" s="67">
        <f t="shared" si="4"/>
        <v>0</v>
      </c>
      <c r="FT25" s="67">
        <f t="shared" si="4"/>
        <v>0</v>
      </c>
      <c r="FU25" s="67">
        <f t="shared" si="4"/>
        <v>0</v>
      </c>
      <c r="FV25" s="67">
        <f t="shared" si="4"/>
        <v>0</v>
      </c>
      <c r="FW25" s="67">
        <f t="shared" si="4"/>
        <v>0</v>
      </c>
      <c r="FX25" s="67">
        <f t="shared" si="4"/>
        <v>0</v>
      </c>
      <c r="FY25" s="67">
        <f t="shared" si="4"/>
        <v>0</v>
      </c>
      <c r="FZ25" s="67">
        <f t="shared" si="4"/>
        <v>0</v>
      </c>
      <c r="GA25" s="67">
        <f t="shared" si="4"/>
        <v>0</v>
      </c>
      <c r="GB25" s="67">
        <f t="shared" si="4"/>
        <v>0</v>
      </c>
      <c r="GC25" s="67">
        <f t="shared" si="4"/>
        <v>0</v>
      </c>
      <c r="GD25" s="67">
        <f t="shared" si="4"/>
        <v>0</v>
      </c>
      <c r="GE25" s="67">
        <f t="shared" si="4"/>
        <v>0</v>
      </c>
      <c r="GF25" s="67">
        <f t="shared" si="4"/>
        <v>0</v>
      </c>
      <c r="GG25" s="67">
        <f t="shared" si="4"/>
        <v>0</v>
      </c>
      <c r="GH25" s="67">
        <f t="shared" si="4"/>
        <v>0</v>
      </c>
      <c r="GI25" s="69">
        <f t="shared" si="4"/>
        <v>0</v>
      </c>
      <c r="GJ25" s="69">
        <f t="shared" si="4"/>
        <v>0</v>
      </c>
      <c r="GK25" s="69">
        <f t="shared" si="4"/>
        <v>0</v>
      </c>
      <c r="GL25" s="63"/>
      <c r="GM25" s="63"/>
      <c r="GN25" s="63"/>
      <c r="GO25" s="63"/>
      <c r="GP25" s="63"/>
      <c r="GQ25" s="63"/>
      <c r="GR25" s="63"/>
      <c r="GS25" s="63"/>
      <c r="GT25" s="63"/>
      <c r="GU25" s="63"/>
      <c r="GV25" s="63"/>
      <c r="GW25" s="63"/>
      <c r="GX25" s="63"/>
      <c r="GY25" s="63"/>
      <c r="GZ25" s="63"/>
      <c r="HA25" s="63"/>
      <c r="HB25" s="63"/>
      <c r="HC25" s="63"/>
      <c r="HD25" s="63"/>
      <c r="HE25" s="63"/>
      <c r="HF25" s="63"/>
      <c r="HG25" s="63"/>
      <c r="HH25" s="63"/>
      <c r="HI25" s="63"/>
      <c r="HJ25" s="63"/>
      <c r="HK25" s="63"/>
      <c r="HL25" s="63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20"/>
      <c r="IQ25" s="20"/>
      <c r="IR25" s="20"/>
    </row>
    <row r="26" ht="13.5" customHeight="1">
      <c r="A26" s="1"/>
      <c r="D26" s="6"/>
      <c r="E26" s="64"/>
      <c r="F26" s="65"/>
      <c r="G26" s="65"/>
      <c r="H26" s="2"/>
      <c r="I26" s="66"/>
      <c r="J26" s="6"/>
      <c r="K26" s="58" t="s">
        <v>35</v>
      </c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  <c r="BV26" s="67"/>
      <c r="BW26" s="67"/>
      <c r="BX26" s="67"/>
      <c r="BY26" s="67"/>
      <c r="BZ26" s="67"/>
      <c r="CA26" s="67"/>
      <c r="CB26" s="67"/>
      <c r="CC26" s="67"/>
      <c r="CD26" s="27"/>
      <c r="CE26" s="67"/>
      <c r="CF26" s="67"/>
      <c r="CG26" s="67"/>
      <c r="CH26" s="67"/>
      <c r="CI26" s="67"/>
      <c r="CJ26" s="67"/>
      <c r="CK26" s="67"/>
      <c r="CL26" s="67"/>
      <c r="CM26" s="67"/>
      <c r="CN26" s="67"/>
      <c r="CO26" s="67"/>
      <c r="CP26" s="67"/>
      <c r="CQ26" s="67"/>
      <c r="CR26" s="67"/>
      <c r="CS26" s="67"/>
      <c r="CT26" s="67"/>
      <c r="CU26" s="67"/>
      <c r="CV26" s="67"/>
      <c r="CW26" s="67"/>
      <c r="CX26" s="67"/>
      <c r="CY26" s="67"/>
      <c r="CZ26" s="67"/>
      <c r="DA26" s="67"/>
      <c r="DB26" s="67"/>
      <c r="DC26" s="67"/>
      <c r="DD26" s="67"/>
      <c r="DE26" s="67"/>
      <c r="DF26" s="67"/>
      <c r="DG26" s="67"/>
      <c r="DH26" s="68"/>
      <c r="DI26" s="67"/>
      <c r="DJ26" s="67"/>
      <c r="DK26" s="67"/>
      <c r="DL26" s="67"/>
      <c r="DM26" s="67"/>
      <c r="DN26" s="67"/>
      <c r="DO26" s="67"/>
      <c r="DP26" s="67"/>
      <c r="DQ26" s="67"/>
      <c r="DR26" s="67"/>
      <c r="DS26" s="67"/>
      <c r="DT26" s="67"/>
      <c r="DU26" s="67"/>
      <c r="DV26" s="67"/>
      <c r="DW26" s="67"/>
      <c r="DX26" s="67"/>
      <c r="DY26" s="67"/>
      <c r="DZ26" s="67"/>
      <c r="EA26" s="67"/>
      <c r="EB26" s="67"/>
      <c r="EC26" s="67"/>
      <c r="ED26" s="67"/>
      <c r="EE26" s="67"/>
      <c r="EF26" s="67"/>
      <c r="EG26" s="67"/>
      <c r="EH26" s="67"/>
      <c r="EI26" s="67"/>
      <c r="EJ26" s="67"/>
      <c r="EK26" s="67"/>
      <c r="EL26" s="67"/>
      <c r="EM26" s="67"/>
      <c r="EN26" s="67"/>
      <c r="EO26" s="67"/>
      <c r="EP26" s="67"/>
      <c r="EQ26" s="67"/>
      <c r="ER26" s="67"/>
      <c r="ES26" s="67"/>
      <c r="ET26" s="67"/>
      <c r="EU26" s="67"/>
      <c r="EV26" s="67"/>
      <c r="EW26" s="67"/>
      <c r="EX26" s="67"/>
      <c r="EY26" s="67"/>
      <c r="EZ26" s="67"/>
      <c r="FA26" s="67"/>
      <c r="FB26" s="67"/>
      <c r="FC26" s="67"/>
      <c r="FD26" s="67"/>
      <c r="FE26" s="67"/>
      <c r="FF26" s="67"/>
      <c r="FG26" s="67"/>
      <c r="FH26" s="67"/>
      <c r="FI26" s="67">
        <f t="shared" ref="FI26:GK26" si="5">+FI25+FI24</f>
        <v>0</v>
      </c>
      <c r="FJ26" s="67">
        <f t="shared" si="5"/>
        <v>0</v>
      </c>
      <c r="FK26" s="67">
        <f t="shared" si="5"/>
        <v>0</v>
      </c>
      <c r="FL26" s="67">
        <f t="shared" si="5"/>
        <v>0</v>
      </c>
      <c r="FM26" s="67">
        <f t="shared" si="5"/>
        <v>0</v>
      </c>
      <c r="FN26" s="67">
        <f t="shared" si="5"/>
        <v>0</v>
      </c>
      <c r="FO26" s="67">
        <f t="shared" si="5"/>
        <v>0</v>
      </c>
      <c r="FP26" s="67">
        <f t="shared" si="5"/>
        <v>0</v>
      </c>
      <c r="FQ26" s="67">
        <f t="shared" si="5"/>
        <v>0</v>
      </c>
      <c r="FR26" s="67">
        <f t="shared" si="5"/>
        <v>0</v>
      </c>
      <c r="FS26" s="67">
        <f t="shared" si="5"/>
        <v>0</v>
      </c>
      <c r="FT26" s="67">
        <f t="shared" si="5"/>
        <v>0</v>
      </c>
      <c r="FU26" s="67">
        <f t="shared" si="5"/>
        <v>0</v>
      </c>
      <c r="FV26" s="67">
        <f t="shared" si="5"/>
        <v>0</v>
      </c>
      <c r="FW26" s="67">
        <f t="shared" si="5"/>
        <v>0</v>
      </c>
      <c r="FX26" s="67">
        <f t="shared" si="5"/>
        <v>0</v>
      </c>
      <c r="FY26" s="67">
        <f t="shared" si="5"/>
        <v>0</v>
      </c>
      <c r="FZ26" s="67">
        <f t="shared" si="5"/>
        <v>0</v>
      </c>
      <c r="GA26" s="67">
        <f t="shared" si="5"/>
        <v>0</v>
      </c>
      <c r="GB26" s="67">
        <f t="shared" si="5"/>
        <v>0</v>
      </c>
      <c r="GC26" s="67">
        <f t="shared" si="5"/>
        <v>0</v>
      </c>
      <c r="GD26" s="67">
        <f t="shared" si="5"/>
        <v>0</v>
      </c>
      <c r="GE26" s="67">
        <f t="shared" si="5"/>
        <v>0</v>
      </c>
      <c r="GF26" s="67">
        <f t="shared" si="5"/>
        <v>0</v>
      </c>
      <c r="GG26" s="67">
        <f t="shared" si="5"/>
        <v>0</v>
      </c>
      <c r="GH26" s="67">
        <f t="shared" si="5"/>
        <v>0</v>
      </c>
      <c r="GI26" s="69">
        <f t="shared" si="5"/>
        <v>0</v>
      </c>
      <c r="GJ26" s="69">
        <f t="shared" si="5"/>
        <v>0</v>
      </c>
      <c r="GK26" s="69">
        <f t="shared" si="5"/>
        <v>0</v>
      </c>
      <c r="GL26" s="63"/>
      <c r="GM26" s="63"/>
      <c r="GN26" s="63"/>
      <c r="GO26" s="63"/>
      <c r="GP26" s="63"/>
      <c r="GQ26" s="63"/>
      <c r="GR26" s="63"/>
      <c r="GS26" s="63"/>
      <c r="GT26" s="63"/>
      <c r="GU26" s="63"/>
      <c r="GV26" s="63"/>
      <c r="GW26" s="63"/>
      <c r="GX26" s="63"/>
      <c r="GY26" s="63"/>
      <c r="GZ26" s="63"/>
      <c r="HA26" s="63"/>
      <c r="HB26" s="63"/>
      <c r="HC26" s="63"/>
      <c r="HD26" s="63"/>
      <c r="HE26" s="63"/>
      <c r="HF26" s="63"/>
      <c r="HG26" s="63"/>
      <c r="HH26" s="63"/>
      <c r="HI26" s="63"/>
      <c r="HJ26" s="63"/>
      <c r="HK26" s="63"/>
      <c r="HL26" s="63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20"/>
      <c r="IQ26" s="20"/>
      <c r="IR26" s="20"/>
      <c r="NF26" s="70" t="s">
        <v>36</v>
      </c>
    </row>
    <row r="27" ht="13.5" customHeight="1">
      <c r="A27" s="1"/>
      <c r="D27" s="6"/>
      <c r="E27" s="64"/>
      <c r="F27" s="71"/>
      <c r="G27" s="65"/>
      <c r="H27" s="2"/>
      <c r="I27" s="66"/>
      <c r="J27" s="6"/>
      <c r="K27" s="72" t="s">
        <v>37</v>
      </c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27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4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 t="str">
        <f t="shared" ref="FI27:GK27" si="6">+(COUNTIFS(#REF!,"Salta",#REF!,"1")+COUNTIFS(#REF!,"Salta",#REF!,"S"))/FI26</f>
        <v>#DIV/0!</v>
      </c>
      <c r="FJ27" s="73" t="str">
        <f t="shared" si="6"/>
        <v>#DIV/0!</v>
      </c>
      <c r="FK27" s="73" t="str">
        <f t="shared" si="6"/>
        <v>#DIV/0!</v>
      </c>
      <c r="FL27" s="73" t="str">
        <f t="shared" si="6"/>
        <v>#DIV/0!</v>
      </c>
      <c r="FM27" s="73" t="str">
        <f t="shared" si="6"/>
        <v>#DIV/0!</v>
      </c>
      <c r="FN27" s="73" t="str">
        <f t="shared" si="6"/>
        <v>#DIV/0!</v>
      </c>
      <c r="FO27" s="73" t="str">
        <f t="shared" si="6"/>
        <v>#DIV/0!</v>
      </c>
      <c r="FP27" s="73" t="str">
        <f t="shared" si="6"/>
        <v>#DIV/0!</v>
      </c>
      <c r="FQ27" s="73" t="str">
        <f t="shared" si="6"/>
        <v>#DIV/0!</v>
      </c>
      <c r="FR27" s="73" t="str">
        <f t="shared" si="6"/>
        <v>#DIV/0!</v>
      </c>
      <c r="FS27" s="73" t="str">
        <f t="shared" si="6"/>
        <v>#DIV/0!</v>
      </c>
      <c r="FT27" s="73" t="str">
        <f t="shared" si="6"/>
        <v>#DIV/0!</v>
      </c>
      <c r="FU27" s="73" t="str">
        <f t="shared" si="6"/>
        <v>#DIV/0!</v>
      </c>
      <c r="FV27" s="73" t="str">
        <f t="shared" si="6"/>
        <v>#DIV/0!</v>
      </c>
      <c r="FW27" s="73" t="str">
        <f t="shared" si="6"/>
        <v>#DIV/0!</v>
      </c>
      <c r="FX27" s="73" t="str">
        <f t="shared" si="6"/>
        <v>#DIV/0!</v>
      </c>
      <c r="FY27" s="73" t="str">
        <f t="shared" si="6"/>
        <v>#DIV/0!</v>
      </c>
      <c r="FZ27" s="73" t="str">
        <f t="shared" si="6"/>
        <v>#DIV/0!</v>
      </c>
      <c r="GA27" s="73" t="str">
        <f t="shared" si="6"/>
        <v>#DIV/0!</v>
      </c>
      <c r="GB27" s="73" t="str">
        <f t="shared" si="6"/>
        <v>#DIV/0!</v>
      </c>
      <c r="GC27" s="73" t="str">
        <f t="shared" si="6"/>
        <v>#DIV/0!</v>
      </c>
      <c r="GD27" s="73" t="str">
        <f t="shared" si="6"/>
        <v>#DIV/0!</v>
      </c>
      <c r="GE27" s="73" t="str">
        <f t="shared" si="6"/>
        <v>#DIV/0!</v>
      </c>
      <c r="GF27" s="73" t="str">
        <f t="shared" si="6"/>
        <v>#DIV/0!</v>
      </c>
      <c r="GG27" s="73" t="str">
        <f t="shared" si="6"/>
        <v>#DIV/0!</v>
      </c>
      <c r="GH27" s="73" t="str">
        <f t="shared" si="6"/>
        <v>#DIV/0!</v>
      </c>
      <c r="GI27" s="73" t="str">
        <f t="shared" si="6"/>
        <v>#DIV/0!</v>
      </c>
      <c r="GJ27" s="73" t="str">
        <f t="shared" si="6"/>
        <v>#DIV/0!</v>
      </c>
      <c r="GK27" s="73" t="str">
        <f t="shared" si="6"/>
        <v>#DIV/0!</v>
      </c>
      <c r="GL27" s="75"/>
      <c r="GM27" s="75"/>
      <c r="GN27" s="75"/>
      <c r="GO27" s="75"/>
      <c r="GP27" s="75"/>
      <c r="GQ27" s="75"/>
      <c r="GR27" s="75"/>
      <c r="GS27" s="75"/>
      <c r="GT27" s="75"/>
      <c r="GU27" s="75"/>
      <c r="GV27" s="75"/>
      <c r="GW27" s="75"/>
      <c r="GX27" s="75"/>
      <c r="GY27" s="75"/>
      <c r="GZ27" s="75"/>
      <c r="HA27" s="75"/>
      <c r="HB27" s="75"/>
      <c r="HC27" s="75"/>
      <c r="HD27" s="75"/>
      <c r="HE27" s="75"/>
      <c r="HF27" s="75"/>
      <c r="HG27" s="75"/>
      <c r="HH27" s="75"/>
      <c r="HI27" s="75"/>
      <c r="HJ27" s="75"/>
      <c r="HK27" s="75"/>
      <c r="HL27" s="75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20"/>
      <c r="IQ27" s="20"/>
      <c r="IR27" s="20"/>
    </row>
    <row r="28" ht="13.5" customHeight="1">
      <c r="A28" s="1"/>
      <c r="D28" s="6"/>
      <c r="E28" s="76"/>
      <c r="F28" s="76"/>
      <c r="G28" s="66"/>
      <c r="H28" s="6"/>
      <c r="I28" s="66"/>
      <c r="J28" s="6"/>
      <c r="K28" s="58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2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8"/>
      <c r="DI28" s="77"/>
      <c r="DJ28" s="77"/>
      <c r="DK28" s="77"/>
      <c r="DL28" s="47"/>
      <c r="DM28" s="47"/>
      <c r="DN28" s="47"/>
      <c r="DO28" s="47"/>
      <c r="DP28" s="47"/>
      <c r="DQ28" s="47"/>
      <c r="DR28" s="47"/>
      <c r="DS28" s="47"/>
      <c r="DT28" s="47"/>
      <c r="DU28" s="47"/>
      <c r="DV28" s="47"/>
      <c r="DW28" s="47"/>
      <c r="DX28" s="47"/>
      <c r="DY28" s="47"/>
      <c r="DZ28" s="47"/>
      <c r="EA28" s="47"/>
      <c r="EB28" s="47"/>
      <c r="EC28" s="47"/>
      <c r="ED28" s="4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9"/>
      <c r="GD28" s="79"/>
      <c r="GE28" s="79"/>
      <c r="GF28" s="79"/>
      <c r="GG28" s="79"/>
      <c r="GH28" s="79"/>
      <c r="GI28" s="79"/>
      <c r="GJ28" s="79"/>
      <c r="GK28" s="79"/>
      <c r="GL28" s="79"/>
      <c r="GM28" s="79"/>
      <c r="GN28" s="79"/>
      <c r="GO28" s="79"/>
      <c r="GP28" s="79"/>
      <c r="GQ28" s="79"/>
      <c r="GR28" s="79"/>
      <c r="GS28" s="79"/>
      <c r="GT28" s="79"/>
      <c r="GU28" s="79"/>
      <c r="GV28" s="79"/>
      <c r="GW28" s="79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80"/>
      <c r="HS28" s="80"/>
      <c r="HT28" s="80"/>
      <c r="HU28" s="80"/>
      <c r="HV28" s="80"/>
      <c r="HW28" s="80"/>
      <c r="HX28" s="80"/>
      <c r="HY28" s="80"/>
      <c r="HZ28" s="80"/>
      <c r="IA28" s="80"/>
      <c r="IB28" s="80"/>
      <c r="IC28" s="80"/>
      <c r="ID28" s="80"/>
      <c r="IE28" s="80"/>
      <c r="IF28" s="80"/>
      <c r="IG28" s="80"/>
      <c r="IH28" s="80"/>
      <c r="II28" s="80"/>
      <c r="IJ28" s="80"/>
      <c r="IK28" s="80"/>
      <c r="IL28" s="80"/>
      <c r="IM28" s="80"/>
      <c r="IN28" s="80"/>
      <c r="IO28" s="80"/>
      <c r="IP28" s="80"/>
      <c r="IQ28" s="80"/>
      <c r="IR28" s="80"/>
      <c r="IS28" s="80"/>
      <c r="IT28" s="80"/>
      <c r="IU28" s="80"/>
      <c r="IV28" s="80"/>
      <c r="IW28" s="80"/>
      <c r="IX28" s="80"/>
      <c r="IY28" s="80"/>
      <c r="IZ28" s="80"/>
      <c r="JA28" s="80"/>
      <c r="JB28" s="80"/>
      <c r="JC28" s="80"/>
      <c r="JD28" s="80"/>
      <c r="JE28" s="80"/>
      <c r="JF28" s="80"/>
      <c r="JG28" s="80"/>
      <c r="JH28" s="80"/>
      <c r="JI28" s="80"/>
      <c r="JJ28" s="80"/>
      <c r="JK28" s="80"/>
      <c r="JL28" s="80"/>
      <c r="JM28" s="80"/>
      <c r="JN28" s="80"/>
      <c r="JO28" s="80"/>
      <c r="JP28" s="80"/>
      <c r="JQ28" s="80"/>
      <c r="JR28" s="80"/>
      <c r="JS28" s="80"/>
      <c r="JT28" s="80"/>
      <c r="JU28" s="80"/>
      <c r="JV28" s="80"/>
      <c r="JW28" s="80"/>
    </row>
    <row r="29" ht="13.5" customHeight="1">
      <c r="A29" s="1"/>
      <c r="D29" s="6"/>
      <c r="E29" s="76"/>
      <c r="F29" s="76"/>
      <c r="G29" s="66"/>
      <c r="H29" s="6"/>
      <c r="I29" s="66"/>
      <c r="J29" s="6"/>
      <c r="K29" s="58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81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2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8"/>
      <c r="DI29" s="77"/>
      <c r="DJ29" s="77"/>
      <c r="DK29" s="77"/>
      <c r="DL29" s="47"/>
      <c r="DM29" s="47"/>
      <c r="DN29" s="47"/>
      <c r="DO29" s="47"/>
      <c r="DP29" s="47"/>
      <c r="DQ29" s="47"/>
      <c r="DR29" s="47"/>
      <c r="DS29" s="47"/>
      <c r="DT29" s="47"/>
      <c r="DU29" s="47"/>
      <c r="DV29" s="47"/>
      <c r="DW29" s="47"/>
      <c r="DX29" s="47"/>
      <c r="DY29" s="47"/>
      <c r="DZ29" s="47"/>
      <c r="EA29" s="47"/>
      <c r="EB29" s="47"/>
      <c r="EC29" s="47"/>
      <c r="ED29" s="4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9"/>
      <c r="GD29" s="79"/>
      <c r="GE29" s="79"/>
      <c r="GF29" s="79"/>
      <c r="GG29" s="79"/>
      <c r="GH29" s="79"/>
      <c r="GI29" s="79"/>
      <c r="GJ29" s="79"/>
      <c r="GK29" s="79"/>
      <c r="GL29" s="79"/>
      <c r="GM29" s="79"/>
      <c r="GN29" s="79"/>
      <c r="GO29" s="79"/>
      <c r="GP29" s="79"/>
      <c r="GQ29" s="79"/>
      <c r="GR29" s="79"/>
      <c r="GS29" s="79"/>
      <c r="GT29" s="79"/>
      <c r="GU29" s="79"/>
      <c r="GV29" s="79"/>
      <c r="GW29" s="79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80"/>
      <c r="HS29" s="80"/>
      <c r="HT29" s="80"/>
      <c r="HU29" s="80"/>
      <c r="HV29" s="80"/>
      <c r="HW29" s="80"/>
      <c r="HX29" s="80"/>
      <c r="HY29" s="80"/>
      <c r="HZ29" s="80"/>
      <c r="IA29" s="80"/>
      <c r="IB29" s="80"/>
      <c r="IC29" s="80"/>
      <c r="ID29" s="80"/>
      <c r="IE29" s="80"/>
      <c r="IF29" s="80"/>
      <c r="IG29" s="80"/>
      <c r="IH29" s="80"/>
      <c r="II29" s="80"/>
      <c r="IJ29" s="80"/>
      <c r="IK29" s="80"/>
      <c r="IL29" s="80"/>
      <c r="IM29" s="80"/>
      <c r="IN29" s="80"/>
      <c r="IO29" s="80"/>
      <c r="IP29" s="80"/>
      <c r="IQ29" s="80"/>
      <c r="IR29" s="80"/>
      <c r="IS29" s="80"/>
      <c r="IT29" s="80"/>
      <c r="IU29" s="80"/>
      <c r="IV29" s="80"/>
      <c r="IW29" s="80"/>
      <c r="IX29" s="80"/>
      <c r="IY29" s="80"/>
      <c r="IZ29" s="80"/>
      <c r="JA29" s="80"/>
      <c r="JB29" s="80"/>
      <c r="JC29" s="80"/>
      <c r="JD29" s="80"/>
      <c r="JE29" s="80"/>
      <c r="JF29" s="80"/>
      <c r="JG29" s="80"/>
      <c r="JH29" s="80"/>
      <c r="JI29" s="80"/>
      <c r="JJ29" s="80"/>
      <c r="JK29" s="80"/>
      <c r="JL29" s="80"/>
      <c r="JM29" s="80"/>
      <c r="JN29" s="80"/>
      <c r="JO29" s="80"/>
      <c r="JP29" s="80"/>
      <c r="JQ29" s="80"/>
      <c r="JR29" s="80"/>
      <c r="JS29" s="80"/>
      <c r="JT29" s="80"/>
      <c r="JU29" s="80"/>
      <c r="JV29" s="80"/>
      <c r="JW29" s="80"/>
    </row>
    <row r="30" ht="13.5" customHeight="1">
      <c r="A30" s="1"/>
      <c r="D30" s="6"/>
      <c r="E30" s="76"/>
      <c r="F30" s="76"/>
      <c r="G30" s="66"/>
      <c r="H30" s="6"/>
      <c r="I30" s="66"/>
      <c r="J30" s="6"/>
      <c r="K30" s="54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2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8"/>
      <c r="DI30" s="77"/>
      <c r="DJ30" s="77"/>
      <c r="DK30" s="77"/>
      <c r="DL30" s="47"/>
      <c r="DM30" s="47"/>
      <c r="DN30" s="47"/>
      <c r="DO30" s="47"/>
      <c r="DP30" s="47"/>
      <c r="DQ30" s="47"/>
      <c r="DR30" s="47"/>
      <c r="DS30" s="47"/>
      <c r="DT30" s="47"/>
      <c r="DU30" s="47"/>
      <c r="DV30" s="47"/>
      <c r="DW30" s="47"/>
      <c r="DX30" s="47"/>
      <c r="DY30" s="47"/>
      <c r="DZ30" s="47"/>
      <c r="EA30" s="47"/>
      <c r="EB30" s="47"/>
      <c r="EC30" s="47"/>
      <c r="ED30" s="4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9"/>
      <c r="GD30" s="79"/>
      <c r="GE30" s="79"/>
      <c r="GF30" s="79"/>
      <c r="GG30" s="79"/>
      <c r="GH30" s="79"/>
      <c r="GI30" s="79"/>
      <c r="GJ30" s="79"/>
      <c r="GK30" s="79"/>
      <c r="GL30" s="79"/>
      <c r="GM30" s="79"/>
      <c r="GN30" s="79"/>
      <c r="GO30" s="79"/>
      <c r="GP30" s="79"/>
      <c r="GQ30" s="79"/>
      <c r="GR30" s="79"/>
      <c r="GS30" s="79"/>
      <c r="GT30" s="79"/>
      <c r="GU30" s="79"/>
      <c r="GV30" s="79"/>
      <c r="GW30" s="79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80"/>
      <c r="HS30" s="80"/>
      <c r="HT30" s="80"/>
      <c r="HU30" s="80"/>
      <c r="HV30" s="80"/>
      <c r="HW30" s="80"/>
      <c r="HX30" s="80"/>
      <c r="HY30" s="80"/>
      <c r="HZ30" s="80"/>
      <c r="IA30" s="80"/>
      <c r="IB30" s="80"/>
      <c r="IC30" s="80"/>
      <c r="ID30" s="80"/>
      <c r="IE30" s="80"/>
      <c r="IF30" s="80"/>
      <c r="IG30" s="80"/>
      <c r="IH30" s="80"/>
      <c r="II30" s="80"/>
      <c r="IJ30" s="80"/>
      <c r="IK30" s="80"/>
      <c r="IL30" s="80"/>
      <c r="IM30" s="80"/>
      <c r="IN30" s="80"/>
      <c r="IO30" s="80"/>
      <c r="IP30" s="80"/>
      <c r="IQ30" s="80"/>
      <c r="IR30" s="80"/>
      <c r="IS30" s="80"/>
      <c r="IT30" s="80"/>
      <c r="IU30" s="80"/>
      <c r="IV30" s="80"/>
      <c r="IW30" s="80"/>
      <c r="IX30" s="80"/>
      <c r="IY30" s="80"/>
      <c r="IZ30" s="80"/>
      <c r="JA30" s="80"/>
      <c r="JB30" s="80"/>
      <c r="JC30" s="80"/>
      <c r="JD30" s="80"/>
      <c r="JE30" s="80"/>
      <c r="JF30" s="80"/>
      <c r="JG30" s="80"/>
      <c r="JH30" s="80"/>
      <c r="JI30" s="80"/>
      <c r="JJ30" s="80"/>
      <c r="JK30" s="80"/>
      <c r="JL30" s="80"/>
      <c r="JM30" s="80"/>
      <c r="JN30" s="80"/>
      <c r="JO30" s="80"/>
      <c r="JP30" s="80"/>
      <c r="JQ30" s="80"/>
      <c r="JR30" s="80"/>
      <c r="JS30" s="80"/>
      <c r="JT30" s="80"/>
      <c r="JU30" s="80"/>
      <c r="JV30" s="80"/>
      <c r="JW30" s="80"/>
    </row>
    <row r="31" ht="13.5" customHeight="1">
      <c r="A31" s="1"/>
      <c r="D31" s="82"/>
      <c r="E31" s="76"/>
      <c r="F31" s="76"/>
      <c r="G31" s="66"/>
      <c r="H31" s="6"/>
      <c r="I31" s="66"/>
      <c r="J31" s="6"/>
      <c r="K31" s="54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2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8"/>
      <c r="DI31" s="77"/>
      <c r="DJ31" s="77"/>
      <c r="DK31" s="77"/>
      <c r="DL31" s="47"/>
      <c r="DM31" s="47"/>
      <c r="DN31" s="47"/>
      <c r="DO31" s="47"/>
      <c r="DP31" s="47"/>
      <c r="DQ31" s="47"/>
      <c r="DR31" s="47"/>
      <c r="DS31" s="47"/>
      <c r="DT31" s="47"/>
      <c r="DU31" s="47"/>
      <c r="DV31" s="47"/>
      <c r="DW31" s="47"/>
      <c r="DX31" s="47"/>
      <c r="DY31" s="47"/>
      <c r="DZ31" s="47"/>
      <c r="EA31" s="47"/>
      <c r="EB31" s="47"/>
      <c r="EC31" s="47"/>
      <c r="ED31" s="4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9"/>
      <c r="GD31" s="79"/>
      <c r="GE31" s="79"/>
      <c r="GF31" s="79"/>
      <c r="GG31" s="79"/>
      <c r="GH31" s="79"/>
      <c r="GI31" s="79"/>
      <c r="GJ31" s="79"/>
      <c r="GK31" s="79"/>
      <c r="GL31" s="79"/>
      <c r="GM31" s="79"/>
      <c r="GN31" s="79"/>
      <c r="GO31" s="79"/>
      <c r="GP31" s="79"/>
      <c r="GQ31" s="79"/>
      <c r="GR31" s="79"/>
      <c r="GS31" s="79"/>
      <c r="GT31" s="79"/>
      <c r="GU31" s="79"/>
      <c r="GV31" s="79"/>
      <c r="GW31" s="79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80"/>
      <c r="HS31" s="80"/>
      <c r="HT31" s="80"/>
      <c r="HU31" s="80"/>
      <c r="HV31" s="80"/>
      <c r="HW31" s="80"/>
      <c r="HX31" s="80"/>
      <c r="HY31" s="80"/>
      <c r="HZ31" s="80"/>
      <c r="IA31" s="80"/>
      <c r="IB31" s="80"/>
      <c r="IC31" s="80"/>
      <c r="ID31" s="80"/>
      <c r="IE31" s="80"/>
      <c r="IF31" s="80"/>
      <c r="IG31" s="80"/>
      <c r="IH31" s="80"/>
      <c r="II31" s="80"/>
      <c r="IJ31" s="80"/>
      <c r="IK31" s="80"/>
      <c r="IL31" s="80"/>
      <c r="IM31" s="80"/>
      <c r="IN31" s="80"/>
      <c r="IO31" s="80"/>
      <c r="IP31" s="80"/>
      <c r="IQ31" s="80"/>
      <c r="IR31" s="80"/>
      <c r="IS31" s="80"/>
      <c r="IT31" s="80"/>
      <c r="IU31" s="80"/>
      <c r="IV31" s="80"/>
      <c r="IW31" s="80"/>
      <c r="IX31" s="80"/>
      <c r="IY31" s="80"/>
      <c r="IZ31" s="80"/>
      <c r="JA31" s="80"/>
      <c r="JB31" s="80"/>
      <c r="JC31" s="80"/>
      <c r="JD31" s="80"/>
      <c r="JE31" s="80"/>
      <c r="JF31" s="80"/>
      <c r="JG31" s="80"/>
      <c r="JH31" s="80"/>
      <c r="JI31" s="80"/>
      <c r="JJ31" s="80"/>
      <c r="JK31" s="80"/>
      <c r="JL31" s="80"/>
      <c r="JM31" s="80"/>
      <c r="JN31" s="80"/>
      <c r="JO31" s="80"/>
      <c r="JP31" s="80"/>
      <c r="JQ31" s="80"/>
      <c r="JR31" s="80"/>
      <c r="JS31" s="80"/>
      <c r="JT31" s="80"/>
      <c r="JU31" s="80"/>
      <c r="JV31" s="80"/>
      <c r="JW31" s="80"/>
    </row>
    <row r="32" ht="13.5" customHeight="1">
      <c r="A32" s="1"/>
      <c r="D32" s="82"/>
      <c r="E32" s="76"/>
      <c r="F32" s="76"/>
      <c r="G32" s="66"/>
      <c r="H32" s="6"/>
      <c r="I32" s="66"/>
      <c r="J32" s="6"/>
      <c r="K32" s="54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2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8"/>
      <c r="DI32" s="77"/>
      <c r="DJ32" s="77"/>
      <c r="DK32" s="77"/>
      <c r="DL32" s="47"/>
      <c r="DM32" s="47"/>
      <c r="DN32" s="47"/>
      <c r="DO32" s="47"/>
      <c r="DP32" s="47"/>
      <c r="DQ32" s="47"/>
      <c r="DR32" s="47"/>
      <c r="DS32" s="47"/>
      <c r="DT32" s="47"/>
      <c r="DU32" s="47"/>
      <c r="DV32" s="47"/>
      <c r="DW32" s="47"/>
      <c r="DX32" s="47"/>
      <c r="DY32" s="47"/>
      <c r="DZ32" s="47"/>
      <c r="EA32" s="47"/>
      <c r="EB32" s="47"/>
      <c r="EC32" s="47"/>
      <c r="ED32" s="4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9"/>
      <c r="GD32" s="79"/>
      <c r="GE32" s="79"/>
      <c r="GF32" s="79"/>
      <c r="GG32" s="79"/>
      <c r="GH32" s="79"/>
      <c r="GI32" s="79"/>
      <c r="GJ32" s="79"/>
      <c r="GK32" s="79"/>
      <c r="GL32" s="79"/>
      <c r="GM32" s="79"/>
      <c r="GN32" s="79"/>
      <c r="GO32" s="79"/>
      <c r="GP32" s="79"/>
      <c r="GQ32" s="79"/>
      <c r="GR32" s="79"/>
      <c r="GS32" s="79"/>
      <c r="GT32" s="79"/>
      <c r="GU32" s="79"/>
      <c r="GV32" s="79"/>
      <c r="GW32" s="79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80"/>
      <c r="HS32" s="80"/>
      <c r="HT32" s="80"/>
      <c r="HU32" s="80"/>
      <c r="HV32" s="80"/>
      <c r="HW32" s="80"/>
      <c r="HX32" s="80"/>
      <c r="HY32" s="80"/>
      <c r="HZ32" s="80"/>
      <c r="IA32" s="80"/>
      <c r="IB32" s="80"/>
      <c r="IC32" s="80"/>
      <c r="ID32" s="80"/>
      <c r="IE32" s="80"/>
      <c r="IF32" s="80"/>
      <c r="IG32" s="80"/>
      <c r="IH32" s="80"/>
      <c r="II32" s="80"/>
      <c r="IJ32" s="80"/>
      <c r="IK32" s="80"/>
      <c r="IL32" s="80"/>
      <c r="IM32" s="80"/>
      <c r="IN32" s="80"/>
      <c r="IO32" s="80"/>
      <c r="IP32" s="80"/>
      <c r="IQ32" s="80"/>
      <c r="IR32" s="80"/>
      <c r="IS32" s="80"/>
      <c r="IT32" s="80"/>
      <c r="IU32" s="80"/>
      <c r="IV32" s="80"/>
      <c r="IW32" s="80"/>
      <c r="IX32" s="80"/>
      <c r="IY32" s="80"/>
      <c r="IZ32" s="80"/>
      <c r="JA32" s="80"/>
      <c r="JB32" s="80"/>
      <c r="JC32" s="80"/>
      <c r="JD32" s="80"/>
      <c r="JE32" s="80"/>
      <c r="JF32" s="80"/>
      <c r="JG32" s="80"/>
      <c r="JH32" s="80"/>
      <c r="JI32" s="80"/>
      <c r="JJ32" s="80"/>
      <c r="JK32" s="80"/>
      <c r="JL32" s="80"/>
      <c r="JM32" s="80"/>
      <c r="JN32" s="80"/>
      <c r="JO32" s="80"/>
      <c r="JP32" s="80"/>
      <c r="JQ32" s="80"/>
      <c r="JR32" s="80"/>
      <c r="JS32" s="80"/>
      <c r="JT32" s="80"/>
      <c r="JU32" s="80"/>
      <c r="JV32" s="80"/>
      <c r="JW32" s="80"/>
    </row>
    <row r="33" ht="13.5" customHeight="1">
      <c r="A33" s="1"/>
      <c r="D33" s="82"/>
      <c r="E33" s="76"/>
      <c r="F33" s="76"/>
      <c r="G33" s="66"/>
      <c r="H33" s="6"/>
      <c r="I33" s="66"/>
      <c r="J33" s="6"/>
      <c r="K33" s="54"/>
      <c r="L33" s="77"/>
      <c r="M33" s="83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2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8"/>
      <c r="DI33" s="77"/>
      <c r="DJ33" s="77"/>
      <c r="DK33" s="77"/>
      <c r="DL33" s="47"/>
      <c r="DM33" s="47"/>
      <c r="DN33" s="47"/>
      <c r="DO33" s="47"/>
      <c r="DP33" s="47"/>
      <c r="DQ33" s="47"/>
      <c r="DR33" s="47"/>
      <c r="DS33" s="47"/>
      <c r="DT33" s="47"/>
      <c r="DU33" s="47"/>
      <c r="DV33" s="47"/>
      <c r="DW33" s="47"/>
      <c r="DX33" s="47"/>
      <c r="DY33" s="47"/>
      <c r="DZ33" s="47"/>
      <c r="EA33" s="47"/>
      <c r="EB33" s="47"/>
      <c r="EC33" s="47"/>
      <c r="ED33" s="4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9"/>
      <c r="GD33" s="79"/>
      <c r="GE33" s="79"/>
      <c r="GF33" s="79"/>
      <c r="GG33" s="79"/>
      <c r="GH33" s="79"/>
      <c r="GI33" s="79"/>
      <c r="GJ33" s="79"/>
      <c r="GK33" s="79"/>
      <c r="GL33" s="79"/>
      <c r="GM33" s="79"/>
      <c r="GN33" s="79"/>
      <c r="GO33" s="79"/>
      <c r="GP33" s="79"/>
      <c r="GQ33" s="79"/>
      <c r="GR33" s="79"/>
      <c r="GS33" s="79"/>
      <c r="GT33" s="79"/>
      <c r="GU33" s="79"/>
      <c r="GV33" s="79"/>
      <c r="GW33" s="79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80"/>
      <c r="HS33" s="80"/>
      <c r="HT33" s="80"/>
      <c r="HU33" s="80"/>
      <c r="HV33" s="80"/>
      <c r="HW33" s="80"/>
      <c r="HX33" s="80"/>
      <c r="HY33" s="80"/>
      <c r="HZ33" s="80"/>
      <c r="IA33" s="80"/>
      <c r="IB33" s="80"/>
      <c r="IC33" s="80"/>
      <c r="ID33" s="80"/>
      <c r="IE33" s="80"/>
      <c r="IF33" s="80"/>
      <c r="IG33" s="80"/>
      <c r="IH33" s="80"/>
      <c r="II33" s="80"/>
      <c r="IJ33" s="80"/>
      <c r="IK33" s="80"/>
      <c r="IL33" s="80"/>
      <c r="IM33" s="80"/>
      <c r="IN33" s="80"/>
      <c r="IO33" s="80"/>
      <c r="IP33" s="80"/>
      <c r="IQ33" s="80"/>
      <c r="IR33" s="80"/>
      <c r="IS33" s="80"/>
      <c r="IT33" s="80"/>
      <c r="IU33" s="80"/>
      <c r="IV33" s="80"/>
      <c r="IW33" s="80"/>
      <c r="IX33" s="80"/>
      <c r="IY33" s="80"/>
      <c r="IZ33" s="80"/>
      <c r="JA33" s="80"/>
      <c r="JB33" s="80"/>
      <c r="JC33" s="80"/>
      <c r="JD33" s="80"/>
      <c r="JE33" s="80"/>
      <c r="JF33" s="80"/>
      <c r="JG33" s="80"/>
      <c r="JH33" s="80"/>
      <c r="JI33" s="80"/>
      <c r="JJ33" s="80"/>
      <c r="JK33" s="80"/>
      <c r="JL33" s="80"/>
      <c r="JM33" s="80"/>
      <c r="JN33" s="80"/>
      <c r="JO33" s="80"/>
      <c r="JP33" s="80"/>
      <c r="JQ33" s="80"/>
      <c r="JR33" s="80"/>
      <c r="JS33" s="80"/>
      <c r="JT33" s="80"/>
      <c r="JU33" s="80"/>
      <c r="JV33" s="80"/>
      <c r="JW33" s="80"/>
    </row>
    <row r="34" ht="13.5" customHeight="1">
      <c r="A34" s="1"/>
      <c r="D34" s="82"/>
      <c r="E34" s="76"/>
      <c r="F34" s="76"/>
      <c r="G34" s="66"/>
      <c r="H34" s="6"/>
      <c r="I34" s="66"/>
      <c r="J34" s="6"/>
      <c r="K34" s="54"/>
      <c r="L34" s="77"/>
      <c r="M34" s="83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BU34" s="77"/>
      <c r="BV34" s="77"/>
      <c r="BW34" s="77"/>
      <c r="BX34" s="77"/>
      <c r="BY34" s="77"/>
      <c r="BZ34" s="77"/>
      <c r="CA34" s="77"/>
      <c r="CB34" s="77"/>
      <c r="CC34" s="77"/>
      <c r="CD34" s="27"/>
      <c r="CE34" s="77"/>
      <c r="CF34" s="77"/>
      <c r="CG34" s="77"/>
      <c r="CH34" s="77"/>
      <c r="CI34" s="77"/>
      <c r="CJ34" s="77"/>
      <c r="CK34" s="77"/>
      <c r="CL34" s="77"/>
      <c r="CM34" s="77"/>
      <c r="CN34" s="77"/>
      <c r="CO34" s="77"/>
      <c r="CP34" s="77"/>
      <c r="CQ34" s="77"/>
      <c r="CR34" s="77"/>
      <c r="CS34" s="77"/>
      <c r="CT34" s="77"/>
      <c r="CU34" s="77"/>
      <c r="CV34" s="77"/>
      <c r="CW34" s="77"/>
      <c r="CX34" s="77"/>
      <c r="CY34" s="77"/>
      <c r="CZ34" s="77"/>
      <c r="DA34" s="77"/>
      <c r="DB34" s="77"/>
      <c r="DC34" s="77"/>
      <c r="DD34" s="77"/>
      <c r="DE34" s="77"/>
      <c r="DF34" s="77"/>
      <c r="DG34" s="77"/>
      <c r="DH34" s="78"/>
      <c r="DI34" s="77"/>
      <c r="DJ34" s="77"/>
      <c r="DK34" s="77"/>
      <c r="DL34" s="47"/>
      <c r="DM34" s="47"/>
      <c r="DN34" s="47"/>
      <c r="DO34" s="47"/>
      <c r="DP34" s="47"/>
      <c r="DQ34" s="47"/>
      <c r="DR34" s="47"/>
      <c r="DS34" s="47"/>
      <c r="DT34" s="47"/>
      <c r="DU34" s="47"/>
      <c r="DV34" s="47"/>
      <c r="DW34" s="47"/>
      <c r="DX34" s="47"/>
      <c r="DY34" s="47"/>
      <c r="DZ34" s="47"/>
      <c r="EA34" s="47"/>
      <c r="EB34" s="47"/>
      <c r="EC34" s="47"/>
      <c r="ED34" s="4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9"/>
      <c r="GD34" s="79"/>
      <c r="GE34" s="79"/>
      <c r="GF34" s="79"/>
      <c r="GG34" s="79"/>
      <c r="GH34" s="79"/>
      <c r="GI34" s="79"/>
      <c r="GJ34" s="79"/>
      <c r="GK34" s="79"/>
      <c r="GL34" s="79"/>
      <c r="GM34" s="79"/>
      <c r="GN34" s="79"/>
      <c r="GO34" s="79"/>
      <c r="GP34" s="79"/>
      <c r="GQ34" s="79"/>
      <c r="GR34" s="79"/>
      <c r="GS34" s="79"/>
      <c r="GT34" s="79"/>
      <c r="GU34" s="79"/>
      <c r="GV34" s="79"/>
      <c r="GW34" s="79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80"/>
      <c r="HS34" s="80"/>
      <c r="HT34" s="80"/>
      <c r="HU34" s="80"/>
      <c r="HV34" s="80"/>
      <c r="HW34" s="80"/>
      <c r="HX34" s="80"/>
      <c r="HY34" s="80"/>
      <c r="HZ34" s="80"/>
      <c r="IA34" s="80"/>
      <c r="IB34" s="80"/>
      <c r="IC34" s="80"/>
      <c r="ID34" s="80"/>
      <c r="IE34" s="80"/>
      <c r="IF34" s="80"/>
      <c r="IG34" s="80"/>
      <c r="IH34" s="80"/>
      <c r="II34" s="80"/>
      <c r="IJ34" s="80"/>
      <c r="IK34" s="80"/>
      <c r="IL34" s="80"/>
      <c r="IM34" s="80"/>
      <c r="IN34" s="80"/>
      <c r="IO34" s="80"/>
      <c r="IP34" s="80"/>
      <c r="IQ34" s="80"/>
      <c r="IR34" s="80"/>
      <c r="IS34" s="80"/>
      <c r="IT34" s="80"/>
      <c r="IU34" s="80"/>
      <c r="IV34" s="80"/>
      <c r="IW34" s="80"/>
      <c r="IX34" s="80"/>
      <c r="IY34" s="80"/>
      <c r="IZ34" s="80"/>
      <c r="JA34" s="80"/>
      <c r="JB34" s="80"/>
      <c r="JC34" s="80"/>
      <c r="JD34" s="80"/>
      <c r="JE34" s="80"/>
      <c r="JF34" s="80"/>
      <c r="JG34" s="80"/>
      <c r="JH34" s="80"/>
      <c r="JI34" s="80"/>
      <c r="JJ34" s="80"/>
      <c r="JK34" s="80"/>
      <c r="JL34" s="80"/>
      <c r="JM34" s="80"/>
      <c r="JN34" s="80"/>
      <c r="JO34" s="80"/>
      <c r="JP34" s="80"/>
      <c r="JQ34" s="80"/>
      <c r="JR34" s="80"/>
      <c r="JS34" s="80"/>
      <c r="JT34" s="80"/>
      <c r="JU34" s="80"/>
      <c r="JV34" s="80"/>
      <c r="JW34" s="80"/>
    </row>
    <row r="35" ht="13.5" customHeight="1">
      <c r="A35" s="1"/>
      <c r="D35" s="82"/>
      <c r="E35" s="76"/>
      <c r="F35" s="76"/>
      <c r="G35" s="66"/>
      <c r="H35" s="6"/>
      <c r="I35" s="66"/>
      <c r="J35" s="6"/>
      <c r="K35" s="54"/>
      <c r="L35" s="77"/>
      <c r="M35" s="83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BU35" s="77"/>
      <c r="BV35" s="77"/>
      <c r="BW35" s="77"/>
      <c r="BX35" s="77"/>
      <c r="BY35" s="77"/>
      <c r="BZ35" s="77"/>
      <c r="CA35" s="77"/>
      <c r="CB35" s="77"/>
      <c r="CC35" s="77"/>
      <c r="CD35" s="27"/>
      <c r="CE35" s="77"/>
      <c r="CF35" s="77"/>
      <c r="CG35" s="77"/>
      <c r="CH35" s="77"/>
      <c r="CI35" s="77"/>
      <c r="CJ35" s="77"/>
      <c r="CK35" s="77"/>
      <c r="CL35" s="77"/>
      <c r="CM35" s="77"/>
      <c r="CN35" s="77"/>
      <c r="CO35" s="77"/>
      <c r="CP35" s="77"/>
      <c r="CQ35" s="77"/>
      <c r="CR35" s="77"/>
      <c r="CS35" s="77"/>
      <c r="CT35" s="77"/>
      <c r="CU35" s="77"/>
      <c r="CV35" s="77"/>
      <c r="CW35" s="77"/>
      <c r="CX35" s="77"/>
      <c r="CY35" s="77"/>
      <c r="CZ35" s="77"/>
      <c r="DA35" s="77"/>
      <c r="DB35" s="77"/>
      <c r="DC35" s="77"/>
      <c r="DD35" s="77"/>
      <c r="DE35" s="77"/>
      <c r="DF35" s="77"/>
      <c r="DG35" s="77"/>
      <c r="DH35" s="78"/>
      <c r="DI35" s="77"/>
      <c r="DJ35" s="77"/>
      <c r="DK35" s="7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9"/>
      <c r="GD35" s="79"/>
      <c r="GE35" s="79"/>
      <c r="GF35" s="79"/>
      <c r="GG35" s="79"/>
      <c r="GH35" s="79"/>
      <c r="GI35" s="79"/>
      <c r="GJ35" s="79"/>
      <c r="GK35" s="79"/>
      <c r="GL35" s="79"/>
      <c r="GM35" s="79"/>
      <c r="GN35" s="79"/>
      <c r="GO35" s="79"/>
      <c r="GP35" s="79"/>
      <c r="GQ35" s="79"/>
      <c r="GR35" s="79"/>
      <c r="GS35" s="79"/>
      <c r="GT35" s="79"/>
      <c r="GU35" s="79"/>
      <c r="GV35" s="79"/>
      <c r="GW35" s="79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80"/>
      <c r="HS35" s="80"/>
      <c r="HT35" s="80"/>
      <c r="HU35" s="80"/>
      <c r="HV35" s="80"/>
      <c r="HW35" s="80"/>
      <c r="HX35" s="80"/>
      <c r="HY35" s="80"/>
      <c r="HZ35" s="80"/>
      <c r="IA35" s="80"/>
      <c r="IB35" s="80"/>
      <c r="IC35" s="80"/>
      <c r="ID35" s="80"/>
      <c r="IE35" s="80"/>
      <c r="IF35" s="80"/>
      <c r="IG35" s="80"/>
      <c r="IH35" s="80"/>
      <c r="II35" s="80"/>
      <c r="IJ35" s="80"/>
      <c r="IK35" s="80"/>
      <c r="IL35" s="80"/>
      <c r="IM35" s="80"/>
      <c r="IN35" s="80"/>
      <c r="IO35" s="80"/>
      <c r="IP35" s="80"/>
      <c r="IQ35" s="80"/>
      <c r="IR35" s="80"/>
      <c r="IS35" s="80"/>
      <c r="IT35" s="80"/>
      <c r="IU35" s="80"/>
      <c r="IV35" s="80"/>
      <c r="IW35" s="80"/>
      <c r="IX35" s="80"/>
      <c r="IY35" s="80"/>
      <c r="IZ35" s="80"/>
      <c r="JA35" s="80"/>
      <c r="JB35" s="80"/>
      <c r="JC35" s="80"/>
      <c r="JD35" s="80"/>
      <c r="JE35" s="80"/>
      <c r="JF35" s="80"/>
      <c r="JG35" s="80"/>
      <c r="JH35" s="80"/>
      <c r="JI35" s="80"/>
      <c r="JJ35" s="80"/>
      <c r="JK35" s="80"/>
      <c r="JL35" s="80"/>
      <c r="JM35" s="80"/>
      <c r="JN35" s="80"/>
      <c r="JO35" s="80"/>
      <c r="JP35" s="80"/>
      <c r="JQ35" s="80"/>
      <c r="JR35" s="80"/>
      <c r="JS35" s="80"/>
      <c r="JT35" s="80"/>
      <c r="JU35" s="80"/>
      <c r="JV35" s="80"/>
      <c r="JW35" s="80"/>
    </row>
    <row r="36" ht="13.5" customHeight="1">
      <c r="A36" s="1"/>
      <c r="D36" s="6"/>
      <c r="E36" s="76"/>
      <c r="F36" s="76"/>
      <c r="G36" s="66"/>
      <c r="H36" s="6"/>
      <c r="I36" s="66"/>
      <c r="J36" s="6"/>
      <c r="K36" s="54"/>
      <c r="L36" s="77"/>
      <c r="M36" s="84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2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8"/>
      <c r="DI36" s="77"/>
      <c r="DJ36" s="77"/>
      <c r="DK36" s="77"/>
      <c r="DL36" s="47"/>
      <c r="DM36" s="47"/>
      <c r="DN36" s="47"/>
      <c r="DO36" s="47"/>
      <c r="DP36" s="47"/>
      <c r="DQ36" s="47"/>
      <c r="DR36" s="47"/>
      <c r="DS36" s="47"/>
      <c r="DT36" s="47"/>
      <c r="DU36" s="47"/>
      <c r="DV36" s="47"/>
      <c r="DW36" s="47"/>
      <c r="DX36" s="47"/>
      <c r="DY36" s="47"/>
      <c r="DZ36" s="47"/>
      <c r="EA36" s="47"/>
      <c r="EB36" s="47"/>
      <c r="EC36" s="47"/>
      <c r="ED36" s="4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9"/>
      <c r="GD36" s="79"/>
      <c r="GE36" s="79"/>
      <c r="GF36" s="79"/>
      <c r="GG36" s="79"/>
      <c r="GH36" s="79"/>
      <c r="GI36" s="79"/>
      <c r="GJ36" s="79"/>
      <c r="GK36" s="79"/>
      <c r="GL36" s="79"/>
      <c r="GM36" s="79"/>
      <c r="GN36" s="79"/>
      <c r="GO36" s="79"/>
      <c r="GP36" s="79"/>
      <c r="GQ36" s="79"/>
      <c r="GR36" s="79"/>
      <c r="GS36" s="79"/>
      <c r="GT36" s="79"/>
      <c r="GU36" s="79"/>
      <c r="GV36" s="79"/>
      <c r="GW36" s="79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80"/>
      <c r="HS36" s="80"/>
      <c r="HT36" s="80"/>
      <c r="HU36" s="80"/>
      <c r="HV36" s="80"/>
      <c r="HW36" s="80"/>
      <c r="HX36" s="80"/>
      <c r="HY36" s="80"/>
      <c r="HZ36" s="80"/>
      <c r="IA36" s="80"/>
      <c r="IB36" s="80"/>
      <c r="IC36" s="80"/>
      <c r="ID36" s="80"/>
      <c r="IE36" s="80"/>
      <c r="IF36" s="80"/>
      <c r="IG36" s="80"/>
      <c r="IH36" s="80"/>
      <c r="II36" s="80"/>
      <c r="IJ36" s="80"/>
      <c r="IK36" s="80"/>
      <c r="IL36" s="80"/>
      <c r="IM36" s="80"/>
      <c r="IN36" s="80"/>
      <c r="IO36" s="80"/>
      <c r="IP36" s="80"/>
      <c r="IQ36" s="80"/>
      <c r="IR36" s="80"/>
      <c r="IS36" s="80"/>
      <c r="IT36" s="80"/>
      <c r="IU36" s="80"/>
      <c r="IV36" s="80"/>
      <c r="IW36" s="80"/>
      <c r="IX36" s="80"/>
      <c r="IY36" s="80"/>
      <c r="IZ36" s="80"/>
      <c r="JA36" s="80"/>
      <c r="JB36" s="80"/>
      <c r="JC36" s="80"/>
      <c r="JD36" s="80"/>
      <c r="JE36" s="80"/>
      <c r="JF36" s="80"/>
      <c r="JG36" s="80"/>
      <c r="JH36" s="80"/>
      <c r="JI36" s="80"/>
      <c r="JJ36" s="80"/>
      <c r="JK36" s="80"/>
      <c r="JL36" s="80"/>
      <c r="JM36" s="80"/>
      <c r="JN36" s="80"/>
      <c r="JO36" s="80"/>
      <c r="JP36" s="80"/>
      <c r="JQ36" s="80"/>
      <c r="JR36" s="80"/>
      <c r="JS36" s="80"/>
      <c r="JT36" s="80"/>
      <c r="JU36" s="80"/>
      <c r="JV36" s="80"/>
      <c r="JW36" s="80"/>
    </row>
    <row r="37" ht="13.5" customHeight="1">
      <c r="A37" s="1"/>
      <c r="D37" s="6"/>
      <c r="E37" s="76"/>
      <c r="F37" s="76"/>
      <c r="G37" s="66"/>
      <c r="H37" s="6"/>
      <c r="I37" s="66"/>
      <c r="J37" s="6"/>
      <c r="K37" s="54"/>
      <c r="L37" s="77"/>
      <c r="M37" s="84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7"/>
      <c r="BQ37" s="77"/>
      <c r="BR37" s="77"/>
      <c r="BS37" s="77"/>
      <c r="BT37" s="77"/>
      <c r="BU37" s="77"/>
      <c r="BV37" s="77"/>
      <c r="BW37" s="77"/>
      <c r="BX37" s="77"/>
      <c r="BY37" s="77"/>
      <c r="BZ37" s="77"/>
      <c r="CA37" s="77"/>
      <c r="CB37" s="77"/>
      <c r="CC37" s="77"/>
      <c r="CD37" s="27"/>
      <c r="CE37" s="77"/>
      <c r="CF37" s="77"/>
      <c r="CG37" s="77"/>
      <c r="CH37" s="77"/>
      <c r="CI37" s="77"/>
      <c r="CJ37" s="77"/>
      <c r="CK37" s="77"/>
      <c r="CL37" s="77"/>
      <c r="CM37" s="77"/>
      <c r="CN37" s="77"/>
      <c r="CO37" s="77"/>
      <c r="CP37" s="77"/>
      <c r="CQ37" s="77"/>
      <c r="CR37" s="77"/>
      <c r="CS37" s="77"/>
      <c r="CT37" s="77"/>
      <c r="CU37" s="77"/>
      <c r="CV37" s="77"/>
      <c r="CW37" s="77"/>
      <c r="CX37" s="77"/>
      <c r="CY37" s="77"/>
      <c r="CZ37" s="77"/>
      <c r="DA37" s="77"/>
      <c r="DB37" s="77"/>
      <c r="DC37" s="77"/>
      <c r="DD37" s="77"/>
      <c r="DE37" s="77"/>
      <c r="DF37" s="77"/>
      <c r="DG37" s="77"/>
      <c r="DH37" s="78"/>
      <c r="DI37" s="77"/>
      <c r="DJ37" s="77"/>
      <c r="DK37" s="77"/>
      <c r="DL37" s="47"/>
      <c r="DM37" s="47"/>
      <c r="DN37" s="47"/>
      <c r="DO37" s="47"/>
      <c r="DP37" s="47"/>
      <c r="DQ37" s="47"/>
      <c r="DR37" s="47"/>
      <c r="DS37" s="47"/>
      <c r="DT37" s="47"/>
      <c r="DU37" s="47"/>
      <c r="DV37" s="47"/>
      <c r="DW37" s="47"/>
      <c r="DX37" s="47"/>
      <c r="DY37" s="47"/>
      <c r="DZ37" s="47"/>
      <c r="EA37" s="47"/>
      <c r="EB37" s="47"/>
      <c r="EC37" s="47"/>
      <c r="ED37" s="4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80"/>
      <c r="HS37" s="80"/>
      <c r="HT37" s="80"/>
      <c r="HU37" s="80"/>
      <c r="HV37" s="80"/>
      <c r="HW37" s="80"/>
      <c r="HX37" s="80"/>
      <c r="HY37" s="80"/>
      <c r="HZ37" s="80"/>
      <c r="IA37" s="80"/>
      <c r="IB37" s="80"/>
      <c r="IC37" s="80"/>
      <c r="ID37" s="80"/>
      <c r="IE37" s="80"/>
      <c r="IF37" s="80"/>
      <c r="IG37" s="80"/>
      <c r="IH37" s="80"/>
      <c r="II37" s="80"/>
      <c r="IJ37" s="80"/>
      <c r="IK37" s="80"/>
      <c r="IL37" s="80"/>
      <c r="IM37" s="80"/>
      <c r="IN37" s="80"/>
      <c r="IO37" s="80"/>
      <c r="IP37" s="80"/>
      <c r="IQ37" s="80"/>
      <c r="IR37" s="80"/>
      <c r="IS37" s="80"/>
      <c r="IT37" s="80"/>
      <c r="IU37" s="80"/>
      <c r="IV37" s="80"/>
      <c r="IW37" s="80"/>
      <c r="IX37" s="80"/>
      <c r="IY37" s="80"/>
      <c r="IZ37" s="80"/>
      <c r="JA37" s="80"/>
      <c r="JB37" s="80"/>
      <c r="JC37" s="80"/>
      <c r="JD37" s="80"/>
      <c r="JE37" s="80"/>
      <c r="JF37" s="80"/>
      <c r="JG37" s="80"/>
      <c r="JH37" s="80"/>
      <c r="JI37" s="80"/>
      <c r="JJ37" s="80"/>
      <c r="JK37" s="80"/>
      <c r="JL37" s="80"/>
      <c r="JM37" s="80"/>
      <c r="JN37" s="80"/>
      <c r="JO37" s="80"/>
      <c r="JP37" s="80"/>
      <c r="JQ37" s="80"/>
      <c r="JR37" s="80"/>
      <c r="JS37" s="80"/>
      <c r="JT37" s="80"/>
      <c r="JU37" s="80"/>
      <c r="JV37" s="80"/>
      <c r="JW37" s="80"/>
    </row>
    <row r="38" ht="15.75" customHeight="1">
      <c r="A38" s="1"/>
      <c r="D38" s="6"/>
      <c r="E38" s="76"/>
      <c r="F38" s="76"/>
      <c r="G38" s="66"/>
      <c r="H38" s="6"/>
      <c r="I38" s="66"/>
      <c r="J38" s="6"/>
      <c r="K38" s="6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7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85"/>
      <c r="DI38" s="20"/>
      <c r="DJ38" s="20"/>
      <c r="DK38" s="20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9"/>
      <c r="GD38" s="79"/>
      <c r="GE38" s="79"/>
      <c r="GF38" s="79"/>
      <c r="GG38" s="79"/>
      <c r="GH38" s="79"/>
      <c r="GI38" s="79"/>
      <c r="GJ38" s="79"/>
      <c r="GK38" s="79"/>
      <c r="GL38" s="79"/>
      <c r="GM38" s="79"/>
      <c r="GN38" s="79"/>
      <c r="GO38" s="79"/>
      <c r="GP38" s="79"/>
      <c r="GQ38" s="79"/>
      <c r="GR38" s="79"/>
      <c r="GS38" s="79"/>
      <c r="GT38" s="79"/>
      <c r="GU38" s="79"/>
      <c r="GV38" s="79"/>
      <c r="GW38" s="79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80"/>
      <c r="HS38" s="80"/>
      <c r="HT38" s="80"/>
      <c r="HU38" s="80"/>
      <c r="HV38" s="80"/>
      <c r="HW38" s="80"/>
      <c r="HX38" s="80"/>
      <c r="HY38" s="80"/>
      <c r="HZ38" s="80"/>
      <c r="IA38" s="80"/>
      <c r="IB38" s="80"/>
      <c r="IC38" s="80"/>
      <c r="ID38" s="80"/>
      <c r="IE38" s="80"/>
      <c r="IF38" s="80"/>
      <c r="IG38" s="80"/>
      <c r="IH38" s="80"/>
      <c r="II38" s="80"/>
      <c r="IJ38" s="80"/>
      <c r="IK38" s="80"/>
      <c r="IL38" s="80"/>
      <c r="IM38" s="80"/>
      <c r="IN38" s="80"/>
      <c r="IO38" s="80"/>
      <c r="IP38" s="80"/>
      <c r="IQ38" s="80"/>
      <c r="IR38" s="80"/>
      <c r="IS38" s="80"/>
      <c r="IT38" s="80"/>
      <c r="IU38" s="80"/>
      <c r="IV38" s="80"/>
      <c r="IW38" s="80"/>
      <c r="IX38" s="80"/>
      <c r="IY38" s="80"/>
      <c r="IZ38" s="80"/>
      <c r="JA38" s="80"/>
      <c r="JB38" s="80"/>
      <c r="JC38" s="80"/>
      <c r="JD38" s="80"/>
      <c r="JE38" s="80"/>
      <c r="JF38" s="80"/>
      <c r="JG38" s="80"/>
      <c r="JH38" s="80"/>
      <c r="JI38" s="80"/>
      <c r="JJ38" s="80"/>
      <c r="JK38" s="80"/>
      <c r="JL38" s="80"/>
      <c r="JM38" s="80"/>
      <c r="JN38" s="80"/>
      <c r="JO38" s="80"/>
      <c r="JP38" s="80"/>
      <c r="JQ38" s="80"/>
      <c r="JR38" s="80"/>
      <c r="JS38" s="80"/>
      <c r="JT38" s="80"/>
      <c r="JU38" s="80"/>
      <c r="JV38" s="80"/>
      <c r="JW38" s="80"/>
    </row>
    <row r="39" ht="15.75" customHeight="1">
      <c r="A39" s="1"/>
      <c r="D39" s="6"/>
      <c r="E39" s="76"/>
      <c r="F39" s="76"/>
      <c r="G39" s="66"/>
      <c r="H39" s="6"/>
      <c r="I39" s="66"/>
      <c r="J39" s="6"/>
      <c r="K39" s="6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7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85"/>
      <c r="DI39" s="20"/>
      <c r="DJ39" s="20"/>
      <c r="DK39" s="20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9"/>
      <c r="GD39" s="79"/>
      <c r="GE39" s="79"/>
      <c r="GF39" s="79"/>
      <c r="GG39" s="79"/>
      <c r="GH39" s="79"/>
      <c r="GI39" s="79"/>
      <c r="GJ39" s="79"/>
      <c r="GK39" s="79"/>
      <c r="GL39" s="79"/>
      <c r="GM39" s="79"/>
      <c r="GN39" s="79"/>
      <c r="GO39" s="79"/>
      <c r="GP39" s="79"/>
      <c r="GQ39" s="79"/>
      <c r="GR39" s="79"/>
      <c r="GS39" s="79"/>
      <c r="GT39" s="79"/>
      <c r="GU39" s="79"/>
      <c r="GV39" s="79"/>
      <c r="GW39" s="79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80"/>
      <c r="HS39" s="80"/>
      <c r="HT39" s="80"/>
      <c r="HU39" s="80"/>
      <c r="HV39" s="80"/>
      <c r="HW39" s="80"/>
      <c r="HX39" s="80"/>
      <c r="HY39" s="80"/>
      <c r="HZ39" s="80"/>
      <c r="IA39" s="80"/>
      <c r="IB39" s="80"/>
      <c r="IC39" s="80"/>
      <c r="ID39" s="80"/>
      <c r="IE39" s="80"/>
      <c r="IF39" s="80"/>
      <c r="IG39" s="80"/>
      <c r="IH39" s="80"/>
      <c r="II39" s="80"/>
      <c r="IJ39" s="80"/>
      <c r="IK39" s="80"/>
      <c r="IL39" s="80"/>
      <c r="IM39" s="80"/>
      <c r="IN39" s="80"/>
      <c r="IO39" s="80"/>
      <c r="IP39" s="80"/>
      <c r="IQ39" s="80"/>
      <c r="IR39" s="80"/>
      <c r="IS39" s="80"/>
      <c r="IT39" s="80"/>
      <c r="IU39" s="80"/>
      <c r="IV39" s="80"/>
      <c r="IW39" s="80"/>
      <c r="IX39" s="80"/>
      <c r="IY39" s="80"/>
      <c r="IZ39" s="80"/>
      <c r="JA39" s="80"/>
      <c r="JB39" s="80"/>
      <c r="JC39" s="80"/>
      <c r="JD39" s="80"/>
      <c r="JE39" s="80"/>
      <c r="JF39" s="80"/>
      <c r="JG39" s="80"/>
      <c r="JH39" s="80"/>
      <c r="JI39" s="80"/>
      <c r="JJ39" s="80"/>
      <c r="JK39" s="80"/>
      <c r="JL39" s="80"/>
      <c r="JM39" s="80"/>
      <c r="JN39" s="80"/>
      <c r="JO39" s="80"/>
      <c r="JP39" s="80"/>
      <c r="JQ39" s="80"/>
      <c r="JR39" s="80"/>
      <c r="JS39" s="80"/>
      <c r="JT39" s="80"/>
      <c r="JU39" s="80"/>
      <c r="JV39" s="80"/>
      <c r="JW39" s="80"/>
    </row>
    <row r="40" ht="15.75" customHeight="1">
      <c r="A40" s="1"/>
      <c r="D40" s="6"/>
      <c r="E40" s="76"/>
      <c r="F40" s="76"/>
      <c r="G40" s="66"/>
      <c r="H40" s="6"/>
      <c r="I40" s="66"/>
      <c r="J40" s="6"/>
      <c r="K40" s="6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7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85"/>
      <c r="DI40" s="20"/>
      <c r="DJ40" s="20"/>
      <c r="DK40" s="20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9"/>
      <c r="GD40" s="79"/>
      <c r="GE40" s="79"/>
      <c r="GF40" s="79"/>
      <c r="GG40" s="79"/>
      <c r="GH40" s="79"/>
      <c r="GI40" s="79"/>
      <c r="GJ40" s="79"/>
      <c r="GK40" s="79"/>
      <c r="GL40" s="79"/>
      <c r="GM40" s="79"/>
      <c r="GN40" s="79"/>
      <c r="GO40" s="79"/>
      <c r="GP40" s="79"/>
      <c r="GQ40" s="79"/>
      <c r="GR40" s="79"/>
      <c r="GS40" s="79"/>
      <c r="GT40" s="79"/>
      <c r="GU40" s="79"/>
      <c r="GV40" s="79"/>
      <c r="GW40" s="79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80"/>
      <c r="HS40" s="80"/>
      <c r="HT40" s="80"/>
      <c r="HU40" s="80"/>
      <c r="HV40" s="80"/>
      <c r="HW40" s="80"/>
      <c r="HX40" s="80"/>
      <c r="HY40" s="80"/>
      <c r="HZ40" s="80"/>
      <c r="IA40" s="80"/>
      <c r="IB40" s="80"/>
      <c r="IC40" s="80"/>
      <c r="ID40" s="80"/>
      <c r="IE40" s="80"/>
      <c r="IF40" s="80"/>
      <c r="IG40" s="80"/>
      <c r="IH40" s="80"/>
      <c r="II40" s="80"/>
      <c r="IJ40" s="80"/>
      <c r="IK40" s="80"/>
      <c r="IL40" s="80"/>
      <c r="IM40" s="80"/>
      <c r="IN40" s="80"/>
      <c r="IO40" s="80"/>
      <c r="IP40" s="80"/>
      <c r="IQ40" s="80"/>
      <c r="IR40" s="80"/>
      <c r="IS40" s="80"/>
      <c r="IT40" s="80"/>
      <c r="IU40" s="80"/>
      <c r="IV40" s="80"/>
      <c r="IW40" s="80"/>
      <c r="IX40" s="80"/>
      <c r="IY40" s="80"/>
      <c r="IZ40" s="80"/>
      <c r="JA40" s="80"/>
      <c r="JB40" s="80"/>
      <c r="JC40" s="80"/>
      <c r="JD40" s="80"/>
      <c r="JE40" s="80"/>
      <c r="JF40" s="80"/>
      <c r="JG40" s="80"/>
      <c r="JH40" s="80"/>
      <c r="JI40" s="80"/>
      <c r="JJ40" s="80"/>
      <c r="JK40" s="80"/>
      <c r="JL40" s="80"/>
      <c r="JM40" s="80"/>
      <c r="JN40" s="80"/>
      <c r="JO40" s="80"/>
      <c r="JP40" s="80"/>
      <c r="JQ40" s="80"/>
      <c r="JR40" s="80"/>
      <c r="JS40" s="80"/>
      <c r="JT40" s="80"/>
      <c r="JU40" s="80"/>
      <c r="JV40" s="80"/>
      <c r="JW40" s="80"/>
    </row>
    <row r="41" ht="15.75" customHeight="1">
      <c r="A41" s="1"/>
      <c r="D41" s="6"/>
      <c r="E41" s="76"/>
      <c r="F41" s="76"/>
      <c r="G41" s="66"/>
      <c r="H41" s="6"/>
      <c r="I41" s="66"/>
      <c r="J41" s="6"/>
      <c r="K41" s="6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7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85"/>
      <c r="DI41" s="20"/>
      <c r="DJ41" s="20"/>
      <c r="DK41" s="20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9"/>
      <c r="GD41" s="79"/>
      <c r="GE41" s="79"/>
      <c r="GF41" s="79"/>
      <c r="GG41" s="79"/>
      <c r="GH41" s="79"/>
      <c r="GI41" s="79"/>
      <c r="GJ41" s="79"/>
      <c r="GK41" s="79"/>
      <c r="GL41" s="79"/>
      <c r="GM41" s="79"/>
      <c r="GN41" s="79"/>
      <c r="GO41" s="79"/>
      <c r="GP41" s="79"/>
      <c r="GQ41" s="79"/>
      <c r="GR41" s="79"/>
      <c r="GS41" s="79"/>
      <c r="GT41" s="79"/>
      <c r="GU41" s="79"/>
      <c r="GV41" s="79"/>
      <c r="GW41" s="79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80"/>
      <c r="HS41" s="80"/>
      <c r="HT41" s="80"/>
      <c r="HU41" s="80"/>
      <c r="HV41" s="80"/>
      <c r="HW41" s="80"/>
      <c r="HX41" s="80"/>
      <c r="HY41" s="80"/>
      <c r="HZ41" s="80"/>
      <c r="IA41" s="80"/>
      <c r="IB41" s="80"/>
      <c r="IC41" s="80"/>
      <c r="ID41" s="80"/>
      <c r="IE41" s="80"/>
      <c r="IF41" s="80"/>
      <c r="IG41" s="80"/>
      <c r="IH41" s="80"/>
      <c r="II41" s="80"/>
      <c r="IJ41" s="80"/>
      <c r="IK41" s="80"/>
      <c r="IL41" s="80"/>
      <c r="IM41" s="80"/>
      <c r="IN41" s="80"/>
      <c r="IO41" s="80"/>
      <c r="IP41" s="80"/>
      <c r="IQ41" s="80"/>
      <c r="IR41" s="80"/>
      <c r="IS41" s="80"/>
      <c r="IT41" s="80"/>
      <c r="IU41" s="80"/>
      <c r="IV41" s="80"/>
      <c r="IW41" s="80"/>
      <c r="IX41" s="80"/>
      <c r="IY41" s="80"/>
      <c r="IZ41" s="80"/>
      <c r="JA41" s="80"/>
      <c r="JB41" s="80"/>
      <c r="JC41" s="80"/>
      <c r="JD41" s="80"/>
      <c r="JE41" s="80"/>
      <c r="JF41" s="80"/>
      <c r="JG41" s="80"/>
      <c r="JH41" s="80"/>
      <c r="JI41" s="80"/>
      <c r="JJ41" s="80"/>
      <c r="JK41" s="80"/>
      <c r="JL41" s="80"/>
      <c r="JM41" s="80"/>
      <c r="JN41" s="80"/>
      <c r="JO41" s="80"/>
      <c r="JP41" s="80"/>
      <c r="JQ41" s="80"/>
      <c r="JR41" s="80"/>
      <c r="JS41" s="80"/>
      <c r="JT41" s="80"/>
      <c r="JU41" s="80"/>
      <c r="JV41" s="80"/>
      <c r="JW41" s="80"/>
    </row>
    <row r="42" ht="15.75" customHeight="1">
      <c r="A42" s="1"/>
      <c r="D42" s="6"/>
      <c r="E42" s="76"/>
      <c r="F42" s="76"/>
      <c r="G42" s="66"/>
      <c r="H42" s="6"/>
      <c r="I42" s="66"/>
      <c r="J42" s="6"/>
      <c r="K42" s="6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7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85"/>
      <c r="DI42" s="20"/>
      <c r="DJ42" s="20"/>
      <c r="DK42" s="20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9"/>
      <c r="GD42" s="79"/>
      <c r="GE42" s="79"/>
      <c r="GF42" s="79"/>
      <c r="GG42" s="79"/>
      <c r="GH42" s="79"/>
      <c r="GI42" s="79"/>
      <c r="GJ42" s="79"/>
      <c r="GK42" s="79"/>
      <c r="GL42" s="79"/>
      <c r="GM42" s="79"/>
      <c r="GN42" s="79"/>
      <c r="GO42" s="79"/>
      <c r="GP42" s="79"/>
      <c r="GQ42" s="79"/>
      <c r="GR42" s="79"/>
      <c r="GS42" s="79"/>
      <c r="GT42" s="79"/>
      <c r="GU42" s="79"/>
      <c r="GV42" s="79"/>
      <c r="GW42" s="79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80"/>
      <c r="HS42" s="80"/>
      <c r="HT42" s="80"/>
      <c r="HU42" s="80"/>
      <c r="HV42" s="80"/>
      <c r="HW42" s="80"/>
      <c r="HX42" s="80"/>
      <c r="HY42" s="80"/>
      <c r="HZ42" s="80"/>
      <c r="IA42" s="80"/>
      <c r="IB42" s="80"/>
      <c r="IC42" s="80"/>
      <c r="ID42" s="80"/>
      <c r="IE42" s="80"/>
      <c r="IF42" s="80"/>
      <c r="IG42" s="80"/>
      <c r="IH42" s="80"/>
      <c r="II42" s="80"/>
      <c r="IJ42" s="80"/>
      <c r="IK42" s="80"/>
      <c r="IL42" s="80"/>
      <c r="IM42" s="80"/>
      <c r="IN42" s="80"/>
      <c r="IO42" s="80"/>
      <c r="IP42" s="80"/>
      <c r="IQ42" s="80"/>
      <c r="IR42" s="80"/>
      <c r="IS42" s="80"/>
      <c r="IT42" s="80"/>
      <c r="IU42" s="80"/>
      <c r="IV42" s="80"/>
      <c r="IW42" s="80"/>
      <c r="IX42" s="80"/>
      <c r="IY42" s="80"/>
      <c r="IZ42" s="80"/>
      <c r="JA42" s="80"/>
      <c r="JB42" s="80"/>
      <c r="JC42" s="80"/>
      <c r="JD42" s="80"/>
      <c r="JE42" s="80"/>
      <c r="JF42" s="80"/>
      <c r="JG42" s="80"/>
      <c r="JH42" s="80"/>
      <c r="JI42" s="80"/>
      <c r="JJ42" s="80"/>
      <c r="JK42" s="80"/>
      <c r="JL42" s="80"/>
      <c r="JM42" s="80"/>
      <c r="JN42" s="80"/>
      <c r="JO42" s="80"/>
      <c r="JP42" s="80"/>
      <c r="JQ42" s="80"/>
      <c r="JR42" s="80"/>
      <c r="JS42" s="80"/>
      <c r="JT42" s="80"/>
      <c r="JU42" s="80"/>
      <c r="JV42" s="80"/>
      <c r="JW42" s="80"/>
    </row>
    <row r="43" ht="15.75" customHeight="1">
      <c r="A43" s="1"/>
      <c r="D43" s="6">
        <f>18+19</f>
        <v>37</v>
      </c>
      <c r="E43" s="76"/>
      <c r="F43" s="76"/>
      <c r="G43" s="66"/>
      <c r="H43" s="6"/>
      <c r="I43" s="66"/>
      <c r="J43" s="6"/>
      <c r="K43" s="6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7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85"/>
      <c r="DI43" s="20"/>
      <c r="DJ43" s="20"/>
      <c r="DK43" s="20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9"/>
      <c r="GD43" s="79"/>
      <c r="GE43" s="79"/>
      <c r="GF43" s="79"/>
      <c r="GG43" s="79"/>
      <c r="GH43" s="79"/>
      <c r="GI43" s="79"/>
      <c r="GJ43" s="79"/>
      <c r="GK43" s="79"/>
      <c r="GL43" s="79"/>
      <c r="GM43" s="79"/>
      <c r="GN43" s="79"/>
      <c r="GO43" s="79"/>
      <c r="GP43" s="79"/>
      <c r="GQ43" s="79"/>
      <c r="GR43" s="79"/>
      <c r="GS43" s="79"/>
      <c r="GT43" s="79"/>
      <c r="GU43" s="79"/>
      <c r="GV43" s="79"/>
      <c r="GW43" s="79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80"/>
      <c r="HS43" s="80"/>
      <c r="HT43" s="80"/>
      <c r="HU43" s="80"/>
      <c r="HV43" s="80"/>
      <c r="HW43" s="80"/>
      <c r="HX43" s="80"/>
      <c r="HY43" s="80"/>
      <c r="HZ43" s="80"/>
      <c r="IA43" s="80"/>
      <c r="IB43" s="80"/>
      <c r="IC43" s="80"/>
      <c r="ID43" s="80"/>
      <c r="IE43" s="80"/>
      <c r="IF43" s="80"/>
      <c r="IG43" s="80"/>
      <c r="IH43" s="80"/>
      <c r="II43" s="80"/>
      <c r="IJ43" s="80"/>
      <c r="IK43" s="80"/>
      <c r="IL43" s="80"/>
      <c r="IM43" s="80"/>
      <c r="IN43" s="80"/>
      <c r="IO43" s="80"/>
      <c r="IP43" s="80"/>
      <c r="IQ43" s="80"/>
      <c r="IR43" s="80"/>
      <c r="IS43" s="80"/>
      <c r="IT43" s="80"/>
      <c r="IU43" s="80"/>
      <c r="IV43" s="80"/>
      <c r="IW43" s="80"/>
      <c r="IX43" s="80"/>
      <c r="IY43" s="80"/>
      <c r="IZ43" s="80"/>
      <c r="JA43" s="80"/>
      <c r="JB43" s="80"/>
      <c r="JC43" s="80"/>
      <c r="JD43" s="80"/>
      <c r="JE43" s="80"/>
      <c r="JF43" s="80"/>
      <c r="JG43" s="80"/>
      <c r="JH43" s="80"/>
      <c r="JI43" s="80"/>
      <c r="JJ43" s="80"/>
      <c r="JK43" s="80"/>
      <c r="JL43" s="80"/>
      <c r="JM43" s="80"/>
      <c r="JN43" s="80"/>
      <c r="JO43" s="80"/>
      <c r="JP43" s="80"/>
      <c r="JQ43" s="80"/>
      <c r="JR43" s="80"/>
      <c r="JS43" s="80"/>
      <c r="JT43" s="80"/>
      <c r="JU43" s="80"/>
      <c r="JV43" s="80"/>
      <c r="JW43" s="80"/>
    </row>
    <row r="44" ht="15.75" customHeight="1">
      <c r="A44" s="1"/>
      <c r="D44" s="6"/>
      <c r="E44" s="76"/>
      <c r="F44" s="76"/>
      <c r="G44" s="66"/>
      <c r="H44" s="6"/>
      <c r="I44" s="66"/>
      <c r="J44" s="6"/>
      <c r="K44" s="6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7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85"/>
      <c r="DI44" s="20"/>
      <c r="DJ44" s="20"/>
      <c r="DK44" s="20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9"/>
      <c r="GD44" s="79"/>
      <c r="GE44" s="79"/>
      <c r="GF44" s="79"/>
      <c r="GG44" s="79"/>
      <c r="GH44" s="79"/>
      <c r="GI44" s="79"/>
      <c r="GJ44" s="79"/>
      <c r="GK44" s="79"/>
      <c r="GL44" s="79"/>
      <c r="GM44" s="79"/>
      <c r="GN44" s="79"/>
      <c r="GO44" s="79"/>
      <c r="GP44" s="79"/>
      <c r="GQ44" s="79"/>
      <c r="GR44" s="79"/>
      <c r="GS44" s="79"/>
      <c r="GT44" s="79"/>
      <c r="GU44" s="79"/>
      <c r="GV44" s="79"/>
      <c r="GW44" s="79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80"/>
      <c r="HS44" s="80"/>
      <c r="HT44" s="80"/>
      <c r="HU44" s="80"/>
      <c r="HV44" s="80"/>
      <c r="HW44" s="80"/>
      <c r="HX44" s="80"/>
      <c r="HY44" s="80"/>
      <c r="HZ44" s="80"/>
      <c r="IA44" s="80"/>
      <c r="IB44" s="80"/>
      <c r="IC44" s="80"/>
      <c r="ID44" s="80"/>
      <c r="IE44" s="80"/>
      <c r="IF44" s="80"/>
      <c r="IG44" s="80"/>
      <c r="IH44" s="80"/>
      <c r="II44" s="80"/>
      <c r="IJ44" s="80"/>
      <c r="IK44" s="80"/>
      <c r="IL44" s="80"/>
      <c r="IM44" s="80"/>
      <c r="IN44" s="80"/>
      <c r="IO44" s="80"/>
      <c r="IP44" s="80"/>
      <c r="IQ44" s="80"/>
      <c r="IR44" s="80"/>
      <c r="IS44" s="80"/>
      <c r="IT44" s="80"/>
      <c r="IU44" s="80"/>
      <c r="IV44" s="80"/>
      <c r="IW44" s="80"/>
      <c r="IX44" s="80"/>
      <c r="IY44" s="80"/>
      <c r="IZ44" s="80"/>
      <c r="JA44" s="80"/>
      <c r="JB44" s="80"/>
      <c r="JC44" s="80"/>
      <c r="JD44" s="80"/>
      <c r="JE44" s="80"/>
      <c r="JF44" s="80"/>
      <c r="JG44" s="80"/>
      <c r="JH44" s="80"/>
      <c r="JI44" s="80"/>
      <c r="JJ44" s="80"/>
      <c r="JK44" s="80"/>
      <c r="JL44" s="80"/>
      <c r="JM44" s="80"/>
      <c r="JN44" s="80"/>
      <c r="JO44" s="80"/>
      <c r="JP44" s="80"/>
      <c r="JQ44" s="80"/>
      <c r="JR44" s="80"/>
      <c r="JS44" s="80"/>
      <c r="JT44" s="80"/>
      <c r="JU44" s="80"/>
      <c r="JV44" s="80"/>
      <c r="JW44" s="80"/>
    </row>
    <row r="45" ht="15.75" customHeight="1">
      <c r="A45" s="1"/>
      <c r="D45" s="6"/>
      <c r="E45" s="76"/>
      <c r="F45" s="76"/>
      <c r="G45" s="66"/>
      <c r="H45" s="6"/>
      <c r="I45" s="66"/>
      <c r="J45" s="6"/>
      <c r="K45" s="6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7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85"/>
      <c r="DI45" s="20"/>
      <c r="DJ45" s="20"/>
      <c r="DK45" s="20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9"/>
      <c r="GD45" s="79"/>
      <c r="GE45" s="79"/>
      <c r="GF45" s="79"/>
      <c r="GG45" s="79"/>
      <c r="GH45" s="79"/>
      <c r="GI45" s="79"/>
      <c r="GJ45" s="79"/>
      <c r="GK45" s="79"/>
      <c r="GL45" s="79"/>
      <c r="GM45" s="79"/>
      <c r="GN45" s="79"/>
      <c r="GO45" s="79"/>
      <c r="GP45" s="79"/>
      <c r="GQ45" s="79"/>
      <c r="GR45" s="79"/>
      <c r="GS45" s="79"/>
      <c r="GT45" s="79"/>
      <c r="GU45" s="79"/>
      <c r="GV45" s="79"/>
      <c r="GW45" s="79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80"/>
      <c r="HS45" s="80"/>
      <c r="HT45" s="80"/>
      <c r="HU45" s="80"/>
      <c r="HV45" s="80"/>
      <c r="HW45" s="80"/>
      <c r="HX45" s="80"/>
      <c r="HY45" s="80"/>
      <c r="HZ45" s="80"/>
      <c r="IA45" s="80"/>
      <c r="IB45" s="80"/>
      <c r="IC45" s="80"/>
      <c r="ID45" s="80"/>
      <c r="IE45" s="80"/>
      <c r="IF45" s="80"/>
      <c r="IG45" s="80"/>
      <c r="IH45" s="80"/>
      <c r="II45" s="80"/>
      <c r="IJ45" s="80"/>
      <c r="IK45" s="80"/>
      <c r="IL45" s="80"/>
      <c r="IM45" s="80"/>
      <c r="IN45" s="80"/>
      <c r="IO45" s="80"/>
      <c r="IP45" s="80"/>
      <c r="IQ45" s="80"/>
      <c r="IR45" s="80"/>
      <c r="IS45" s="80"/>
      <c r="IT45" s="80"/>
      <c r="IU45" s="80"/>
      <c r="IV45" s="80"/>
      <c r="IW45" s="80"/>
      <c r="IX45" s="80"/>
      <c r="IY45" s="80"/>
      <c r="IZ45" s="80"/>
      <c r="JA45" s="80"/>
      <c r="JB45" s="80"/>
      <c r="JC45" s="80"/>
      <c r="JD45" s="80"/>
      <c r="JE45" s="80"/>
      <c r="JF45" s="80"/>
      <c r="JG45" s="80"/>
      <c r="JH45" s="80"/>
      <c r="JI45" s="80"/>
      <c r="JJ45" s="80"/>
      <c r="JK45" s="80"/>
      <c r="JL45" s="80"/>
      <c r="JM45" s="80"/>
      <c r="JN45" s="80"/>
      <c r="JO45" s="80"/>
      <c r="JP45" s="80"/>
      <c r="JQ45" s="80"/>
      <c r="JR45" s="80"/>
      <c r="JS45" s="80"/>
      <c r="JT45" s="80"/>
      <c r="JU45" s="80"/>
      <c r="JV45" s="80"/>
      <c r="JW45" s="80"/>
    </row>
    <row r="46" ht="15.75" customHeight="1">
      <c r="A46" s="1"/>
      <c r="D46" s="6"/>
      <c r="E46" s="76"/>
      <c r="F46" s="76"/>
      <c r="G46" s="66"/>
      <c r="H46" s="6"/>
      <c r="I46" s="66"/>
      <c r="J46" s="6"/>
      <c r="K46" s="6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7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85"/>
      <c r="DI46" s="20"/>
      <c r="DJ46" s="20"/>
      <c r="DK46" s="20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9"/>
      <c r="GD46" s="79"/>
      <c r="GE46" s="79"/>
      <c r="GF46" s="79"/>
      <c r="GG46" s="79"/>
      <c r="GH46" s="79"/>
      <c r="GI46" s="79"/>
      <c r="GJ46" s="79"/>
      <c r="GK46" s="79"/>
      <c r="GL46" s="79"/>
      <c r="GM46" s="79"/>
      <c r="GN46" s="79"/>
      <c r="GO46" s="79"/>
      <c r="GP46" s="79"/>
      <c r="GQ46" s="79"/>
      <c r="GR46" s="79"/>
      <c r="GS46" s="79"/>
      <c r="GT46" s="79"/>
      <c r="GU46" s="79"/>
      <c r="GV46" s="79"/>
      <c r="GW46" s="79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80"/>
      <c r="HS46" s="80"/>
      <c r="HT46" s="80"/>
      <c r="HU46" s="80"/>
      <c r="HV46" s="80"/>
      <c r="HW46" s="80"/>
      <c r="HX46" s="80"/>
      <c r="HY46" s="80"/>
      <c r="HZ46" s="80"/>
      <c r="IA46" s="80"/>
      <c r="IB46" s="80"/>
      <c r="IC46" s="80"/>
      <c r="ID46" s="80"/>
      <c r="IE46" s="80"/>
      <c r="IF46" s="80"/>
      <c r="IG46" s="80"/>
      <c r="IH46" s="80"/>
      <c r="II46" s="80"/>
      <c r="IJ46" s="80"/>
      <c r="IK46" s="80"/>
      <c r="IL46" s="80"/>
      <c r="IM46" s="80"/>
      <c r="IN46" s="80"/>
      <c r="IO46" s="80"/>
      <c r="IP46" s="80"/>
      <c r="IQ46" s="80"/>
      <c r="IR46" s="80"/>
      <c r="IS46" s="80"/>
      <c r="IT46" s="80"/>
      <c r="IU46" s="80"/>
      <c r="IV46" s="80"/>
      <c r="IW46" s="80"/>
      <c r="IX46" s="80"/>
      <c r="IY46" s="80"/>
      <c r="IZ46" s="80"/>
      <c r="JA46" s="80"/>
      <c r="JB46" s="80"/>
      <c r="JC46" s="80"/>
      <c r="JD46" s="80"/>
      <c r="JE46" s="80"/>
      <c r="JF46" s="80"/>
      <c r="JG46" s="80"/>
      <c r="JH46" s="80"/>
      <c r="JI46" s="80"/>
      <c r="JJ46" s="80"/>
      <c r="JK46" s="80"/>
      <c r="JL46" s="80"/>
      <c r="JM46" s="80"/>
      <c r="JN46" s="80"/>
      <c r="JO46" s="80"/>
      <c r="JP46" s="80"/>
      <c r="JQ46" s="80"/>
      <c r="JR46" s="80"/>
      <c r="JS46" s="80"/>
      <c r="JT46" s="80"/>
      <c r="JU46" s="80"/>
      <c r="JV46" s="80"/>
      <c r="JW46" s="80"/>
    </row>
    <row r="47" ht="15.75" customHeight="1">
      <c r="A47" s="1"/>
      <c r="D47" s="6"/>
      <c r="E47" s="76"/>
      <c r="F47" s="76"/>
      <c r="G47" s="66"/>
      <c r="H47" s="6"/>
      <c r="I47" s="66"/>
      <c r="J47" s="6"/>
      <c r="K47" s="6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7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85"/>
      <c r="DI47" s="20"/>
      <c r="DJ47" s="20"/>
      <c r="DK47" s="20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9"/>
      <c r="GD47" s="79"/>
      <c r="GE47" s="79"/>
      <c r="GF47" s="79"/>
      <c r="GG47" s="79"/>
      <c r="GH47" s="79"/>
      <c r="GI47" s="79"/>
      <c r="GJ47" s="79"/>
      <c r="GK47" s="79"/>
      <c r="GL47" s="79"/>
      <c r="GM47" s="79"/>
      <c r="GN47" s="79"/>
      <c r="GO47" s="79"/>
      <c r="GP47" s="79"/>
      <c r="GQ47" s="79"/>
      <c r="GR47" s="79"/>
      <c r="GS47" s="79"/>
      <c r="GT47" s="79"/>
      <c r="GU47" s="79"/>
      <c r="GV47" s="79"/>
      <c r="GW47" s="79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80"/>
      <c r="HS47" s="80"/>
      <c r="HT47" s="80"/>
      <c r="HU47" s="80"/>
      <c r="HV47" s="80"/>
      <c r="HW47" s="80"/>
      <c r="HX47" s="80"/>
      <c r="HY47" s="80"/>
      <c r="HZ47" s="80"/>
      <c r="IA47" s="80"/>
      <c r="IB47" s="80"/>
      <c r="IC47" s="80"/>
      <c r="ID47" s="80"/>
      <c r="IE47" s="80"/>
      <c r="IF47" s="80"/>
      <c r="IG47" s="80"/>
      <c r="IH47" s="80"/>
      <c r="II47" s="80"/>
      <c r="IJ47" s="80"/>
      <c r="IK47" s="80"/>
      <c r="IL47" s="80"/>
      <c r="IM47" s="80"/>
      <c r="IN47" s="80"/>
      <c r="IO47" s="80"/>
      <c r="IP47" s="80"/>
      <c r="IQ47" s="80"/>
      <c r="IR47" s="80"/>
      <c r="IS47" s="80"/>
      <c r="IT47" s="80"/>
      <c r="IU47" s="80"/>
      <c r="IV47" s="80"/>
      <c r="IW47" s="80"/>
      <c r="IX47" s="80"/>
      <c r="IY47" s="80"/>
      <c r="IZ47" s="80"/>
      <c r="JA47" s="80"/>
      <c r="JB47" s="80"/>
      <c r="JC47" s="80"/>
      <c r="JD47" s="80"/>
      <c r="JE47" s="80"/>
      <c r="JF47" s="80"/>
      <c r="JG47" s="80"/>
      <c r="JH47" s="80"/>
      <c r="JI47" s="80"/>
      <c r="JJ47" s="80"/>
      <c r="JK47" s="80"/>
      <c r="JL47" s="80"/>
      <c r="JM47" s="80"/>
      <c r="JN47" s="80"/>
      <c r="JO47" s="80"/>
      <c r="JP47" s="80"/>
      <c r="JQ47" s="80"/>
      <c r="JR47" s="80"/>
      <c r="JS47" s="80"/>
      <c r="JT47" s="80"/>
      <c r="JU47" s="80"/>
      <c r="JV47" s="80"/>
      <c r="JW47" s="80"/>
    </row>
    <row r="48" ht="15.75" customHeight="1">
      <c r="A48" s="1"/>
      <c r="D48" s="6"/>
      <c r="E48" s="76"/>
      <c r="F48" s="76"/>
      <c r="G48" s="66"/>
      <c r="H48" s="6"/>
      <c r="I48" s="66"/>
      <c r="J48" s="6"/>
      <c r="K48" s="6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7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85"/>
      <c r="DI48" s="20"/>
      <c r="DJ48" s="20"/>
      <c r="DK48" s="20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9"/>
      <c r="GD48" s="79"/>
      <c r="GE48" s="79"/>
      <c r="GF48" s="79"/>
      <c r="GG48" s="79"/>
      <c r="GH48" s="79"/>
      <c r="GI48" s="79"/>
      <c r="GJ48" s="79"/>
      <c r="GK48" s="79"/>
      <c r="GL48" s="79"/>
      <c r="GM48" s="79"/>
      <c r="GN48" s="79"/>
      <c r="GO48" s="79"/>
      <c r="GP48" s="79"/>
      <c r="GQ48" s="79"/>
      <c r="GR48" s="79"/>
      <c r="GS48" s="79"/>
      <c r="GT48" s="79"/>
      <c r="GU48" s="79"/>
      <c r="GV48" s="79"/>
      <c r="GW48" s="79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80"/>
      <c r="HS48" s="80"/>
      <c r="HT48" s="80"/>
      <c r="HU48" s="80"/>
      <c r="HV48" s="80"/>
      <c r="HW48" s="80"/>
      <c r="HX48" s="80"/>
      <c r="HY48" s="80"/>
      <c r="HZ48" s="80"/>
      <c r="IA48" s="80"/>
      <c r="IB48" s="80"/>
      <c r="IC48" s="80"/>
      <c r="ID48" s="80"/>
      <c r="IE48" s="80"/>
      <c r="IF48" s="80"/>
      <c r="IG48" s="80"/>
      <c r="IH48" s="80"/>
      <c r="II48" s="80"/>
      <c r="IJ48" s="80"/>
      <c r="IK48" s="80"/>
      <c r="IL48" s="80"/>
      <c r="IM48" s="80"/>
      <c r="IN48" s="80"/>
      <c r="IO48" s="80"/>
      <c r="IP48" s="80"/>
      <c r="IQ48" s="80"/>
      <c r="IR48" s="80"/>
      <c r="IS48" s="80"/>
      <c r="IT48" s="80"/>
      <c r="IU48" s="80"/>
      <c r="IV48" s="80"/>
      <c r="IW48" s="80"/>
      <c r="IX48" s="80"/>
      <c r="IY48" s="80"/>
      <c r="IZ48" s="80"/>
      <c r="JA48" s="80"/>
      <c r="JB48" s="80"/>
      <c r="JC48" s="80"/>
      <c r="JD48" s="80"/>
      <c r="JE48" s="80"/>
      <c r="JF48" s="80"/>
      <c r="JG48" s="80"/>
      <c r="JH48" s="80"/>
      <c r="JI48" s="80"/>
      <c r="JJ48" s="80"/>
      <c r="JK48" s="80"/>
      <c r="JL48" s="80"/>
      <c r="JM48" s="80"/>
      <c r="JN48" s="80"/>
      <c r="JO48" s="80"/>
      <c r="JP48" s="80"/>
      <c r="JQ48" s="80"/>
      <c r="JR48" s="80"/>
      <c r="JS48" s="80"/>
      <c r="JT48" s="80"/>
      <c r="JU48" s="80"/>
      <c r="JV48" s="80"/>
      <c r="JW48" s="80"/>
    </row>
    <row r="49" ht="15.75" customHeight="1">
      <c r="A49" s="1"/>
      <c r="D49" s="6"/>
      <c r="E49" s="76"/>
      <c r="F49" s="76"/>
      <c r="G49" s="66"/>
      <c r="H49" s="6"/>
      <c r="I49" s="66"/>
      <c r="J49" s="6"/>
      <c r="K49" s="6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7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85"/>
      <c r="DI49" s="20"/>
      <c r="DJ49" s="20"/>
      <c r="DK49" s="20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9"/>
      <c r="GD49" s="79"/>
      <c r="GE49" s="79"/>
      <c r="GF49" s="79"/>
      <c r="GG49" s="79"/>
      <c r="GH49" s="79"/>
      <c r="GI49" s="79"/>
      <c r="GJ49" s="79"/>
      <c r="GK49" s="79"/>
      <c r="GL49" s="79"/>
      <c r="GM49" s="79"/>
      <c r="GN49" s="79"/>
      <c r="GO49" s="79"/>
      <c r="GP49" s="79"/>
      <c r="GQ49" s="79"/>
      <c r="GR49" s="79"/>
      <c r="GS49" s="79"/>
      <c r="GT49" s="79"/>
      <c r="GU49" s="79"/>
      <c r="GV49" s="79"/>
      <c r="GW49" s="79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80"/>
      <c r="HS49" s="80"/>
      <c r="HT49" s="80"/>
      <c r="HU49" s="80"/>
      <c r="HV49" s="80"/>
      <c r="HW49" s="80"/>
      <c r="HX49" s="80"/>
      <c r="HY49" s="80"/>
      <c r="HZ49" s="80"/>
      <c r="IA49" s="80"/>
      <c r="IB49" s="80"/>
      <c r="IC49" s="80"/>
      <c r="ID49" s="80"/>
      <c r="IE49" s="80"/>
      <c r="IF49" s="80"/>
      <c r="IG49" s="80"/>
      <c r="IH49" s="80"/>
      <c r="II49" s="80"/>
      <c r="IJ49" s="80"/>
      <c r="IK49" s="80"/>
      <c r="IL49" s="80"/>
      <c r="IM49" s="80"/>
      <c r="IN49" s="80"/>
      <c r="IO49" s="80"/>
      <c r="IP49" s="80"/>
      <c r="IQ49" s="80"/>
      <c r="IR49" s="80"/>
      <c r="IS49" s="80"/>
      <c r="IT49" s="80"/>
      <c r="IU49" s="80"/>
      <c r="IV49" s="80"/>
      <c r="IW49" s="80"/>
      <c r="IX49" s="80"/>
      <c r="IY49" s="80"/>
      <c r="IZ49" s="80"/>
      <c r="JA49" s="80"/>
      <c r="JB49" s="80"/>
      <c r="JC49" s="80"/>
      <c r="JD49" s="80"/>
      <c r="JE49" s="80"/>
      <c r="JF49" s="80"/>
      <c r="JG49" s="80"/>
      <c r="JH49" s="80"/>
      <c r="JI49" s="80"/>
      <c r="JJ49" s="80"/>
      <c r="JK49" s="80"/>
      <c r="JL49" s="80"/>
      <c r="JM49" s="80"/>
      <c r="JN49" s="80"/>
      <c r="JO49" s="80"/>
      <c r="JP49" s="80"/>
      <c r="JQ49" s="80"/>
      <c r="JR49" s="80"/>
      <c r="JS49" s="80"/>
      <c r="JT49" s="80"/>
      <c r="JU49" s="80"/>
      <c r="JV49" s="80"/>
      <c r="JW49" s="80"/>
    </row>
    <row r="50" ht="15.75" customHeight="1">
      <c r="A50" s="1"/>
      <c r="D50" s="6"/>
      <c r="E50" s="76"/>
      <c r="F50" s="76"/>
      <c r="G50" s="66"/>
      <c r="H50" s="6"/>
      <c r="I50" s="66"/>
      <c r="J50" s="6"/>
      <c r="K50" s="6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7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85"/>
      <c r="DI50" s="20"/>
      <c r="DJ50" s="20"/>
      <c r="DK50" s="20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9"/>
      <c r="GD50" s="79"/>
      <c r="GE50" s="79"/>
      <c r="GF50" s="79"/>
      <c r="GG50" s="79"/>
      <c r="GH50" s="79"/>
      <c r="GI50" s="79"/>
      <c r="GJ50" s="79"/>
      <c r="GK50" s="79"/>
      <c r="GL50" s="79"/>
      <c r="GM50" s="79"/>
      <c r="GN50" s="79"/>
      <c r="GO50" s="79"/>
      <c r="GP50" s="79"/>
      <c r="GQ50" s="79"/>
      <c r="GR50" s="79"/>
      <c r="GS50" s="79"/>
      <c r="GT50" s="79"/>
      <c r="GU50" s="79"/>
      <c r="GV50" s="79"/>
      <c r="GW50" s="79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80"/>
      <c r="HS50" s="80"/>
      <c r="HT50" s="80"/>
      <c r="HU50" s="80"/>
      <c r="HV50" s="80"/>
      <c r="HW50" s="80"/>
      <c r="HX50" s="80"/>
      <c r="HY50" s="80"/>
      <c r="HZ50" s="80"/>
      <c r="IA50" s="80"/>
      <c r="IB50" s="80"/>
      <c r="IC50" s="80"/>
      <c r="ID50" s="80"/>
      <c r="IE50" s="80"/>
      <c r="IF50" s="80"/>
      <c r="IG50" s="80"/>
      <c r="IH50" s="80"/>
      <c r="II50" s="80"/>
      <c r="IJ50" s="80"/>
      <c r="IK50" s="80"/>
      <c r="IL50" s="80"/>
      <c r="IM50" s="80"/>
      <c r="IN50" s="80"/>
      <c r="IO50" s="80"/>
      <c r="IP50" s="80"/>
      <c r="IQ50" s="80"/>
      <c r="IR50" s="80"/>
      <c r="IS50" s="80"/>
      <c r="IT50" s="80"/>
      <c r="IU50" s="80"/>
      <c r="IV50" s="80"/>
      <c r="IW50" s="80"/>
      <c r="IX50" s="80"/>
      <c r="IY50" s="80"/>
      <c r="IZ50" s="80"/>
      <c r="JA50" s="80"/>
      <c r="JB50" s="80"/>
      <c r="JC50" s="80"/>
      <c r="JD50" s="80"/>
      <c r="JE50" s="80"/>
      <c r="JF50" s="80"/>
      <c r="JG50" s="80"/>
      <c r="JH50" s="80"/>
      <c r="JI50" s="80"/>
      <c r="JJ50" s="80"/>
      <c r="JK50" s="80"/>
      <c r="JL50" s="80"/>
      <c r="JM50" s="80"/>
      <c r="JN50" s="80"/>
      <c r="JO50" s="80"/>
      <c r="JP50" s="80"/>
      <c r="JQ50" s="80"/>
      <c r="JR50" s="80"/>
      <c r="JS50" s="80"/>
      <c r="JT50" s="80"/>
      <c r="JU50" s="80"/>
      <c r="JV50" s="80"/>
      <c r="JW50" s="80"/>
    </row>
    <row r="51" ht="15.75" customHeight="1">
      <c r="A51" s="1"/>
      <c r="D51" s="6"/>
      <c r="E51" s="76"/>
      <c r="F51" s="76"/>
      <c r="G51" s="66"/>
      <c r="H51" s="6"/>
      <c r="I51" s="66"/>
      <c r="J51" s="6"/>
      <c r="K51" s="6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7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85"/>
      <c r="DI51" s="20"/>
      <c r="DJ51" s="20"/>
      <c r="DK51" s="20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9"/>
      <c r="GD51" s="79"/>
      <c r="GE51" s="79"/>
      <c r="GF51" s="79"/>
      <c r="GG51" s="79"/>
      <c r="GH51" s="79"/>
      <c r="GI51" s="79"/>
      <c r="GJ51" s="79"/>
      <c r="GK51" s="79"/>
      <c r="GL51" s="79"/>
      <c r="GM51" s="79"/>
      <c r="GN51" s="79"/>
      <c r="GO51" s="79"/>
      <c r="GP51" s="79"/>
      <c r="GQ51" s="79"/>
      <c r="GR51" s="79"/>
      <c r="GS51" s="79"/>
      <c r="GT51" s="79"/>
      <c r="GU51" s="79"/>
      <c r="GV51" s="79"/>
      <c r="GW51" s="79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80"/>
      <c r="HS51" s="80"/>
      <c r="HT51" s="80"/>
      <c r="HU51" s="80"/>
      <c r="HV51" s="80"/>
      <c r="HW51" s="80"/>
      <c r="HX51" s="80"/>
      <c r="HY51" s="80"/>
      <c r="HZ51" s="80"/>
      <c r="IA51" s="80"/>
      <c r="IB51" s="80"/>
      <c r="IC51" s="80"/>
      <c r="ID51" s="80"/>
      <c r="IE51" s="80"/>
      <c r="IF51" s="80"/>
      <c r="IG51" s="80"/>
      <c r="IH51" s="80"/>
      <c r="II51" s="80"/>
      <c r="IJ51" s="80"/>
      <c r="IK51" s="80"/>
      <c r="IL51" s="80"/>
      <c r="IM51" s="80"/>
      <c r="IN51" s="80"/>
      <c r="IO51" s="80"/>
      <c r="IP51" s="80"/>
      <c r="IQ51" s="80"/>
      <c r="IR51" s="80"/>
      <c r="IS51" s="80"/>
      <c r="IT51" s="80"/>
      <c r="IU51" s="80"/>
      <c r="IV51" s="80"/>
      <c r="IW51" s="80"/>
      <c r="IX51" s="80"/>
      <c r="IY51" s="80"/>
      <c r="IZ51" s="80"/>
      <c r="JA51" s="80"/>
      <c r="JB51" s="80"/>
      <c r="JC51" s="80"/>
      <c r="JD51" s="80"/>
      <c r="JE51" s="80"/>
      <c r="JF51" s="80"/>
      <c r="JG51" s="80"/>
      <c r="JH51" s="80"/>
      <c r="JI51" s="80"/>
      <c r="JJ51" s="80"/>
      <c r="JK51" s="80"/>
      <c r="JL51" s="80"/>
      <c r="JM51" s="80"/>
      <c r="JN51" s="80"/>
      <c r="JO51" s="80"/>
      <c r="JP51" s="80"/>
      <c r="JQ51" s="80"/>
      <c r="JR51" s="80"/>
      <c r="JS51" s="80"/>
      <c r="JT51" s="80"/>
      <c r="JU51" s="80"/>
      <c r="JV51" s="80"/>
      <c r="JW51" s="80"/>
    </row>
    <row r="52" ht="15.75" customHeight="1">
      <c r="A52" s="1"/>
      <c r="D52" s="6"/>
      <c r="E52" s="76"/>
      <c r="F52" s="76"/>
      <c r="G52" s="66"/>
      <c r="H52" s="6"/>
      <c r="I52" s="66"/>
      <c r="J52" s="6"/>
      <c r="K52" s="6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7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85"/>
      <c r="DI52" s="20"/>
      <c r="DJ52" s="20"/>
      <c r="DK52" s="20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9"/>
      <c r="GD52" s="79"/>
      <c r="GE52" s="79"/>
      <c r="GF52" s="79"/>
      <c r="GG52" s="79"/>
      <c r="GH52" s="79"/>
      <c r="GI52" s="79"/>
      <c r="GJ52" s="79"/>
      <c r="GK52" s="79"/>
      <c r="GL52" s="79"/>
      <c r="GM52" s="79"/>
      <c r="GN52" s="79"/>
      <c r="GO52" s="79"/>
      <c r="GP52" s="79"/>
      <c r="GQ52" s="79"/>
      <c r="GR52" s="79"/>
      <c r="GS52" s="79"/>
      <c r="GT52" s="79"/>
      <c r="GU52" s="79"/>
      <c r="GV52" s="79"/>
      <c r="GW52" s="79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80"/>
      <c r="HS52" s="80"/>
      <c r="HT52" s="80"/>
      <c r="HU52" s="80"/>
      <c r="HV52" s="80"/>
      <c r="HW52" s="80"/>
      <c r="HX52" s="80"/>
      <c r="HY52" s="80"/>
      <c r="HZ52" s="80"/>
      <c r="IA52" s="80"/>
      <c r="IB52" s="80"/>
      <c r="IC52" s="80"/>
      <c r="ID52" s="80"/>
      <c r="IE52" s="80"/>
      <c r="IF52" s="80"/>
      <c r="IG52" s="80"/>
      <c r="IH52" s="80"/>
      <c r="II52" s="80"/>
      <c r="IJ52" s="80"/>
      <c r="IK52" s="80"/>
      <c r="IL52" s="80"/>
      <c r="IM52" s="80"/>
      <c r="IN52" s="80"/>
      <c r="IO52" s="80"/>
      <c r="IP52" s="80"/>
      <c r="IQ52" s="80"/>
      <c r="IR52" s="80"/>
      <c r="IS52" s="80"/>
      <c r="IT52" s="80"/>
      <c r="IU52" s="80"/>
      <c r="IV52" s="80"/>
      <c r="IW52" s="80"/>
      <c r="IX52" s="80"/>
      <c r="IY52" s="80"/>
      <c r="IZ52" s="80"/>
      <c r="JA52" s="80"/>
      <c r="JB52" s="80"/>
      <c r="JC52" s="80"/>
      <c r="JD52" s="80"/>
      <c r="JE52" s="80"/>
      <c r="JF52" s="80"/>
      <c r="JG52" s="80"/>
      <c r="JH52" s="80"/>
      <c r="JI52" s="80"/>
      <c r="JJ52" s="80"/>
      <c r="JK52" s="80"/>
      <c r="JL52" s="80"/>
      <c r="JM52" s="80"/>
      <c r="JN52" s="80"/>
      <c r="JO52" s="80"/>
      <c r="JP52" s="80"/>
      <c r="JQ52" s="80"/>
      <c r="JR52" s="80"/>
      <c r="JS52" s="80"/>
      <c r="JT52" s="80"/>
      <c r="JU52" s="80"/>
      <c r="JV52" s="80"/>
      <c r="JW52" s="80"/>
    </row>
    <row r="53" ht="15.75" customHeight="1">
      <c r="A53" s="1"/>
      <c r="D53" s="6"/>
      <c r="E53" s="76"/>
      <c r="F53" s="76"/>
      <c r="G53" s="66"/>
      <c r="H53" s="6"/>
      <c r="I53" s="66"/>
      <c r="J53" s="6"/>
      <c r="K53" s="6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7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85"/>
      <c r="DI53" s="20"/>
      <c r="DJ53" s="20"/>
      <c r="DK53" s="20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9"/>
      <c r="GD53" s="79"/>
      <c r="GE53" s="79"/>
      <c r="GF53" s="79"/>
      <c r="GG53" s="79"/>
      <c r="GH53" s="79"/>
      <c r="GI53" s="79"/>
      <c r="GJ53" s="79"/>
      <c r="GK53" s="79"/>
      <c r="GL53" s="79"/>
      <c r="GM53" s="79"/>
      <c r="GN53" s="79"/>
      <c r="GO53" s="79"/>
      <c r="GP53" s="79"/>
      <c r="GQ53" s="79"/>
      <c r="GR53" s="79"/>
      <c r="GS53" s="79"/>
      <c r="GT53" s="79"/>
      <c r="GU53" s="79"/>
      <c r="GV53" s="79"/>
      <c r="GW53" s="79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80"/>
      <c r="HS53" s="80"/>
      <c r="HT53" s="80"/>
      <c r="HU53" s="80"/>
      <c r="HV53" s="80"/>
      <c r="HW53" s="80"/>
      <c r="HX53" s="80"/>
      <c r="HY53" s="80"/>
      <c r="HZ53" s="80"/>
      <c r="IA53" s="80"/>
      <c r="IB53" s="80"/>
      <c r="IC53" s="80"/>
      <c r="ID53" s="80"/>
      <c r="IE53" s="80"/>
      <c r="IF53" s="80"/>
      <c r="IG53" s="80"/>
      <c r="IH53" s="80"/>
      <c r="II53" s="80"/>
      <c r="IJ53" s="80"/>
      <c r="IK53" s="80"/>
      <c r="IL53" s="80"/>
      <c r="IM53" s="80"/>
      <c r="IN53" s="80"/>
      <c r="IO53" s="80"/>
      <c r="IP53" s="80"/>
      <c r="IQ53" s="80"/>
      <c r="IR53" s="80"/>
      <c r="IS53" s="80"/>
      <c r="IT53" s="80"/>
      <c r="IU53" s="80"/>
      <c r="IV53" s="80"/>
      <c r="IW53" s="80"/>
      <c r="IX53" s="80"/>
      <c r="IY53" s="80"/>
      <c r="IZ53" s="80"/>
      <c r="JA53" s="80"/>
      <c r="JB53" s="80"/>
      <c r="JC53" s="80"/>
      <c r="JD53" s="80"/>
      <c r="JE53" s="80"/>
      <c r="JF53" s="80"/>
      <c r="JG53" s="80"/>
      <c r="JH53" s="80"/>
      <c r="JI53" s="80"/>
      <c r="JJ53" s="80"/>
      <c r="JK53" s="80"/>
      <c r="JL53" s="80"/>
      <c r="JM53" s="80"/>
      <c r="JN53" s="80"/>
      <c r="JO53" s="80"/>
      <c r="JP53" s="80"/>
      <c r="JQ53" s="80"/>
      <c r="JR53" s="80"/>
      <c r="JS53" s="80"/>
      <c r="JT53" s="80"/>
      <c r="JU53" s="80"/>
      <c r="JV53" s="80"/>
      <c r="JW53" s="80"/>
    </row>
    <row r="54" ht="15.75" customHeight="1">
      <c r="A54" s="1"/>
      <c r="D54" s="6"/>
      <c r="E54" s="76"/>
      <c r="F54" s="76"/>
      <c r="G54" s="66"/>
      <c r="H54" s="6"/>
      <c r="I54" s="66"/>
      <c r="J54" s="6"/>
      <c r="K54" s="6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7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85"/>
      <c r="DI54" s="20"/>
      <c r="DJ54" s="20"/>
      <c r="DK54" s="20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9"/>
      <c r="GD54" s="79"/>
      <c r="GE54" s="79"/>
      <c r="GF54" s="79"/>
      <c r="GG54" s="79"/>
      <c r="GH54" s="79"/>
      <c r="GI54" s="79"/>
      <c r="GJ54" s="79"/>
      <c r="GK54" s="79"/>
      <c r="GL54" s="79"/>
      <c r="GM54" s="79"/>
      <c r="GN54" s="79"/>
      <c r="GO54" s="79"/>
      <c r="GP54" s="79"/>
      <c r="GQ54" s="79"/>
      <c r="GR54" s="79"/>
      <c r="GS54" s="79"/>
      <c r="GT54" s="79"/>
      <c r="GU54" s="79"/>
      <c r="GV54" s="79"/>
      <c r="GW54" s="79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80"/>
      <c r="HS54" s="80"/>
      <c r="HT54" s="80"/>
      <c r="HU54" s="80"/>
      <c r="HV54" s="80"/>
      <c r="HW54" s="80"/>
      <c r="HX54" s="80"/>
      <c r="HY54" s="80"/>
      <c r="HZ54" s="80"/>
      <c r="IA54" s="80"/>
      <c r="IB54" s="80"/>
      <c r="IC54" s="80"/>
      <c r="ID54" s="80"/>
      <c r="IE54" s="80"/>
      <c r="IF54" s="80"/>
      <c r="IG54" s="80"/>
      <c r="IH54" s="80"/>
      <c r="II54" s="80"/>
      <c r="IJ54" s="80"/>
      <c r="IK54" s="80"/>
      <c r="IL54" s="80"/>
      <c r="IM54" s="80"/>
      <c r="IN54" s="80"/>
      <c r="IO54" s="80"/>
      <c r="IP54" s="80"/>
      <c r="IQ54" s="80"/>
      <c r="IR54" s="80"/>
      <c r="IS54" s="80"/>
      <c r="IT54" s="80"/>
      <c r="IU54" s="80"/>
      <c r="IV54" s="80"/>
      <c r="IW54" s="80"/>
      <c r="IX54" s="80"/>
      <c r="IY54" s="80"/>
      <c r="IZ54" s="80"/>
      <c r="JA54" s="80"/>
      <c r="JB54" s="80"/>
      <c r="JC54" s="80"/>
      <c r="JD54" s="80"/>
      <c r="JE54" s="80"/>
      <c r="JF54" s="80"/>
      <c r="JG54" s="80"/>
      <c r="JH54" s="80"/>
      <c r="JI54" s="80"/>
      <c r="JJ54" s="80"/>
      <c r="JK54" s="80"/>
      <c r="JL54" s="80"/>
      <c r="JM54" s="80"/>
      <c r="JN54" s="80"/>
      <c r="JO54" s="80"/>
      <c r="JP54" s="80"/>
      <c r="JQ54" s="80"/>
      <c r="JR54" s="80"/>
      <c r="JS54" s="80"/>
      <c r="JT54" s="80"/>
      <c r="JU54" s="80"/>
      <c r="JV54" s="80"/>
      <c r="JW54" s="80"/>
    </row>
    <row r="55" ht="15.75" customHeight="1">
      <c r="A55" s="1"/>
      <c r="D55" s="6"/>
      <c r="E55" s="76"/>
      <c r="F55" s="76"/>
      <c r="G55" s="66"/>
      <c r="H55" s="6"/>
      <c r="I55" s="66"/>
      <c r="J55" s="6"/>
      <c r="K55" s="6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7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85"/>
      <c r="DI55" s="20"/>
      <c r="DJ55" s="20"/>
      <c r="DK55" s="20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9"/>
      <c r="GD55" s="79"/>
      <c r="GE55" s="79"/>
      <c r="GF55" s="79"/>
      <c r="GG55" s="79"/>
      <c r="GH55" s="79"/>
      <c r="GI55" s="79"/>
      <c r="GJ55" s="79"/>
      <c r="GK55" s="79"/>
      <c r="GL55" s="79"/>
      <c r="GM55" s="79"/>
      <c r="GN55" s="79"/>
      <c r="GO55" s="79"/>
      <c r="GP55" s="79"/>
      <c r="GQ55" s="79"/>
      <c r="GR55" s="79"/>
      <c r="GS55" s="79"/>
      <c r="GT55" s="79"/>
      <c r="GU55" s="79"/>
      <c r="GV55" s="79"/>
      <c r="GW55" s="79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80"/>
      <c r="HS55" s="80"/>
      <c r="HT55" s="80"/>
      <c r="HU55" s="80"/>
      <c r="HV55" s="80"/>
      <c r="HW55" s="80"/>
      <c r="HX55" s="80"/>
      <c r="HY55" s="80"/>
      <c r="HZ55" s="80"/>
      <c r="IA55" s="80"/>
      <c r="IB55" s="80"/>
      <c r="IC55" s="80"/>
      <c r="ID55" s="80"/>
      <c r="IE55" s="80"/>
      <c r="IF55" s="80"/>
      <c r="IG55" s="80"/>
      <c r="IH55" s="80"/>
      <c r="II55" s="80"/>
      <c r="IJ55" s="80"/>
      <c r="IK55" s="80"/>
      <c r="IL55" s="80"/>
      <c r="IM55" s="80"/>
      <c r="IN55" s="80"/>
      <c r="IO55" s="80"/>
      <c r="IP55" s="80"/>
      <c r="IQ55" s="80"/>
      <c r="IR55" s="80"/>
      <c r="IS55" s="80"/>
      <c r="IT55" s="80"/>
      <c r="IU55" s="80"/>
      <c r="IV55" s="80"/>
      <c r="IW55" s="80"/>
      <c r="IX55" s="80"/>
      <c r="IY55" s="80"/>
      <c r="IZ55" s="80"/>
      <c r="JA55" s="80"/>
      <c r="JB55" s="80"/>
      <c r="JC55" s="80"/>
      <c r="JD55" s="80"/>
      <c r="JE55" s="80"/>
      <c r="JF55" s="80"/>
      <c r="JG55" s="80"/>
      <c r="JH55" s="80"/>
      <c r="JI55" s="80"/>
      <c r="JJ55" s="80"/>
      <c r="JK55" s="80"/>
      <c r="JL55" s="80"/>
      <c r="JM55" s="80"/>
      <c r="JN55" s="80"/>
      <c r="JO55" s="80"/>
      <c r="JP55" s="80"/>
      <c r="JQ55" s="80"/>
      <c r="JR55" s="80"/>
      <c r="JS55" s="80"/>
      <c r="JT55" s="80"/>
      <c r="JU55" s="80"/>
      <c r="JV55" s="80"/>
      <c r="JW55" s="80"/>
    </row>
    <row r="56" ht="15.75" customHeight="1">
      <c r="A56" s="1"/>
      <c r="D56" s="6"/>
      <c r="E56" s="76"/>
      <c r="F56" s="76"/>
      <c r="G56" s="66"/>
      <c r="H56" s="6"/>
      <c r="I56" s="66"/>
      <c r="J56" s="6"/>
      <c r="K56" s="6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7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85"/>
      <c r="DI56" s="20"/>
      <c r="DJ56" s="20"/>
      <c r="DK56" s="20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9"/>
      <c r="GD56" s="79"/>
      <c r="GE56" s="79"/>
      <c r="GF56" s="79"/>
      <c r="GG56" s="79"/>
      <c r="GH56" s="79"/>
      <c r="GI56" s="79"/>
      <c r="GJ56" s="79"/>
      <c r="GK56" s="79"/>
      <c r="GL56" s="79"/>
      <c r="GM56" s="79"/>
      <c r="GN56" s="79"/>
      <c r="GO56" s="79"/>
      <c r="GP56" s="79"/>
      <c r="GQ56" s="79"/>
      <c r="GR56" s="79"/>
      <c r="GS56" s="79"/>
      <c r="GT56" s="79"/>
      <c r="GU56" s="79"/>
      <c r="GV56" s="79"/>
      <c r="GW56" s="79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80"/>
      <c r="HS56" s="80"/>
      <c r="HT56" s="80"/>
      <c r="HU56" s="80"/>
      <c r="HV56" s="80"/>
      <c r="HW56" s="80"/>
      <c r="HX56" s="80"/>
      <c r="HY56" s="80"/>
      <c r="HZ56" s="80"/>
      <c r="IA56" s="80"/>
      <c r="IB56" s="80"/>
      <c r="IC56" s="80"/>
      <c r="ID56" s="80"/>
      <c r="IE56" s="80"/>
      <c r="IF56" s="80"/>
      <c r="IG56" s="80"/>
      <c r="IH56" s="80"/>
      <c r="II56" s="80"/>
      <c r="IJ56" s="80"/>
      <c r="IK56" s="80"/>
      <c r="IL56" s="80"/>
      <c r="IM56" s="80"/>
      <c r="IN56" s="80"/>
      <c r="IO56" s="80"/>
      <c r="IP56" s="80"/>
      <c r="IQ56" s="80"/>
      <c r="IR56" s="80"/>
      <c r="IS56" s="80"/>
      <c r="IT56" s="80"/>
      <c r="IU56" s="80"/>
      <c r="IV56" s="80"/>
      <c r="IW56" s="80"/>
      <c r="IX56" s="80"/>
      <c r="IY56" s="80"/>
      <c r="IZ56" s="80"/>
      <c r="JA56" s="80"/>
      <c r="JB56" s="80"/>
      <c r="JC56" s="80"/>
      <c r="JD56" s="80"/>
      <c r="JE56" s="80"/>
      <c r="JF56" s="80"/>
      <c r="JG56" s="80"/>
      <c r="JH56" s="80"/>
      <c r="JI56" s="80"/>
      <c r="JJ56" s="80"/>
      <c r="JK56" s="80"/>
      <c r="JL56" s="80"/>
      <c r="JM56" s="80"/>
      <c r="JN56" s="80"/>
      <c r="JO56" s="80"/>
      <c r="JP56" s="80"/>
      <c r="JQ56" s="80"/>
      <c r="JR56" s="80"/>
      <c r="JS56" s="80"/>
      <c r="JT56" s="80"/>
      <c r="JU56" s="80"/>
      <c r="JV56" s="80"/>
      <c r="JW56" s="80"/>
    </row>
    <row r="57" ht="15.75" customHeight="1">
      <c r="A57" s="1"/>
      <c r="D57" s="6"/>
      <c r="E57" s="76"/>
      <c r="F57" s="76"/>
      <c r="G57" s="66"/>
      <c r="H57" s="6"/>
      <c r="I57" s="66"/>
      <c r="J57" s="6"/>
      <c r="K57" s="6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7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85"/>
      <c r="DI57" s="20"/>
      <c r="DJ57" s="20"/>
      <c r="DK57" s="20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9"/>
      <c r="GD57" s="79"/>
      <c r="GE57" s="79"/>
      <c r="GF57" s="79"/>
      <c r="GG57" s="79"/>
      <c r="GH57" s="79"/>
      <c r="GI57" s="79"/>
      <c r="GJ57" s="79"/>
      <c r="GK57" s="79"/>
      <c r="GL57" s="79"/>
      <c r="GM57" s="79"/>
      <c r="GN57" s="79"/>
      <c r="GO57" s="79"/>
      <c r="GP57" s="79"/>
      <c r="GQ57" s="79"/>
      <c r="GR57" s="79"/>
      <c r="GS57" s="79"/>
      <c r="GT57" s="79"/>
      <c r="GU57" s="79"/>
      <c r="GV57" s="79"/>
      <c r="GW57" s="79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80"/>
      <c r="HS57" s="80"/>
      <c r="HT57" s="80"/>
      <c r="HU57" s="80"/>
      <c r="HV57" s="80"/>
      <c r="HW57" s="80"/>
      <c r="HX57" s="80"/>
      <c r="HY57" s="80"/>
      <c r="HZ57" s="80"/>
      <c r="IA57" s="80"/>
      <c r="IB57" s="80"/>
      <c r="IC57" s="80"/>
      <c r="ID57" s="80"/>
      <c r="IE57" s="80"/>
      <c r="IF57" s="80"/>
      <c r="IG57" s="80"/>
      <c r="IH57" s="80"/>
      <c r="II57" s="80"/>
      <c r="IJ57" s="80"/>
      <c r="IK57" s="80"/>
      <c r="IL57" s="80"/>
      <c r="IM57" s="80"/>
      <c r="IN57" s="80"/>
      <c r="IO57" s="80"/>
      <c r="IP57" s="80"/>
      <c r="IQ57" s="80"/>
      <c r="IR57" s="80"/>
      <c r="IS57" s="80"/>
      <c r="IT57" s="80"/>
      <c r="IU57" s="80"/>
      <c r="IV57" s="80"/>
      <c r="IW57" s="80"/>
      <c r="IX57" s="80"/>
      <c r="IY57" s="80"/>
      <c r="IZ57" s="80"/>
      <c r="JA57" s="80"/>
      <c r="JB57" s="80"/>
      <c r="JC57" s="80"/>
      <c r="JD57" s="80"/>
      <c r="JE57" s="80"/>
      <c r="JF57" s="80"/>
      <c r="JG57" s="80"/>
      <c r="JH57" s="80"/>
      <c r="JI57" s="80"/>
      <c r="JJ57" s="80"/>
      <c r="JK57" s="80"/>
      <c r="JL57" s="80"/>
      <c r="JM57" s="80"/>
      <c r="JN57" s="80"/>
      <c r="JO57" s="80"/>
      <c r="JP57" s="80"/>
      <c r="JQ57" s="80"/>
      <c r="JR57" s="80"/>
      <c r="JS57" s="80"/>
      <c r="JT57" s="80"/>
      <c r="JU57" s="80"/>
      <c r="JV57" s="80"/>
      <c r="JW57" s="80"/>
    </row>
    <row r="58" ht="15.75" customHeight="1">
      <c r="A58" s="1"/>
      <c r="D58" s="6"/>
      <c r="E58" s="76"/>
      <c r="F58" s="76"/>
      <c r="G58" s="66"/>
      <c r="H58" s="6"/>
      <c r="I58" s="66"/>
      <c r="J58" s="6"/>
      <c r="K58" s="6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7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85"/>
      <c r="DI58" s="20"/>
      <c r="DJ58" s="20"/>
      <c r="DK58" s="20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9"/>
      <c r="GD58" s="79"/>
      <c r="GE58" s="79"/>
      <c r="GF58" s="79"/>
      <c r="GG58" s="79"/>
      <c r="GH58" s="79"/>
      <c r="GI58" s="79"/>
      <c r="GJ58" s="79"/>
      <c r="GK58" s="79"/>
      <c r="GL58" s="79"/>
      <c r="GM58" s="79"/>
      <c r="GN58" s="79"/>
      <c r="GO58" s="79"/>
      <c r="GP58" s="79"/>
      <c r="GQ58" s="79"/>
      <c r="GR58" s="79"/>
      <c r="GS58" s="79"/>
      <c r="GT58" s="79"/>
      <c r="GU58" s="79"/>
      <c r="GV58" s="79"/>
      <c r="GW58" s="79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80"/>
      <c r="HS58" s="80"/>
      <c r="HT58" s="80"/>
      <c r="HU58" s="80"/>
      <c r="HV58" s="80"/>
      <c r="HW58" s="80"/>
      <c r="HX58" s="80"/>
      <c r="HY58" s="80"/>
      <c r="HZ58" s="80"/>
      <c r="IA58" s="80"/>
      <c r="IB58" s="80"/>
      <c r="IC58" s="80"/>
      <c r="ID58" s="80"/>
      <c r="IE58" s="80"/>
      <c r="IF58" s="80"/>
      <c r="IG58" s="80"/>
      <c r="IH58" s="80"/>
      <c r="II58" s="80"/>
      <c r="IJ58" s="80"/>
      <c r="IK58" s="80"/>
      <c r="IL58" s="80"/>
      <c r="IM58" s="80"/>
      <c r="IN58" s="80"/>
      <c r="IO58" s="80"/>
      <c r="IP58" s="80"/>
      <c r="IQ58" s="80"/>
      <c r="IR58" s="80"/>
      <c r="IS58" s="80"/>
      <c r="IT58" s="80"/>
      <c r="IU58" s="80"/>
      <c r="IV58" s="80"/>
      <c r="IW58" s="80"/>
      <c r="IX58" s="80"/>
      <c r="IY58" s="80"/>
      <c r="IZ58" s="80"/>
      <c r="JA58" s="80"/>
      <c r="JB58" s="80"/>
      <c r="JC58" s="80"/>
      <c r="JD58" s="80"/>
      <c r="JE58" s="80"/>
      <c r="JF58" s="80"/>
      <c r="JG58" s="80"/>
      <c r="JH58" s="80"/>
      <c r="JI58" s="80"/>
      <c r="JJ58" s="80"/>
      <c r="JK58" s="80"/>
      <c r="JL58" s="80"/>
      <c r="JM58" s="80"/>
      <c r="JN58" s="80"/>
      <c r="JO58" s="80"/>
      <c r="JP58" s="80"/>
      <c r="JQ58" s="80"/>
      <c r="JR58" s="80"/>
      <c r="JS58" s="80"/>
      <c r="JT58" s="80"/>
      <c r="JU58" s="80"/>
      <c r="JV58" s="80"/>
      <c r="JW58" s="80"/>
    </row>
    <row r="59" ht="15.75" customHeight="1">
      <c r="A59" s="1"/>
      <c r="D59" s="6"/>
      <c r="E59" s="76"/>
      <c r="F59" s="76"/>
      <c r="G59" s="66"/>
      <c r="H59" s="6"/>
      <c r="I59" s="66"/>
      <c r="J59" s="6"/>
      <c r="K59" s="6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7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85"/>
      <c r="DI59" s="20"/>
      <c r="DJ59" s="20"/>
      <c r="DK59" s="20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9"/>
      <c r="GD59" s="79"/>
      <c r="GE59" s="79"/>
      <c r="GF59" s="79"/>
      <c r="GG59" s="79"/>
      <c r="GH59" s="79"/>
      <c r="GI59" s="79"/>
      <c r="GJ59" s="79"/>
      <c r="GK59" s="79"/>
      <c r="GL59" s="79"/>
      <c r="GM59" s="79"/>
      <c r="GN59" s="79"/>
      <c r="GO59" s="79"/>
      <c r="GP59" s="79"/>
      <c r="GQ59" s="79"/>
      <c r="GR59" s="79"/>
      <c r="GS59" s="79"/>
      <c r="GT59" s="79"/>
      <c r="GU59" s="79"/>
      <c r="GV59" s="79"/>
      <c r="GW59" s="79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80"/>
      <c r="HS59" s="80"/>
      <c r="HT59" s="80"/>
      <c r="HU59" s="80"/>
      <c r="HV59" s="80"/>
      <c r="HW59" s="80"/>
      <c r="HX59" s="80"/>
      <c r="HY59" s="80"/>
      <c r="HZ59" s="80"/>
      <c r="IA59" s="80"/>
      <c r="IB59" s="80"/>
      <c r="IC59" s="80"/>
      <c r="ID59" s="80"/>
      <c r="IE59" s="80"/>
      <c r="IF59" s="80"/>
      <c r="IG59" s="80"/>
      <c r="IH59" s="80"/>
      <c r="II59" s="80"/>
      <c r="IJ59" s="80"/>
      <c r="IK59" s="80"/>
      <c r="IL59" s="80"/>
      <c r="IM59" s="80"/>
      <c r="IN59" s="80"/>
      <c r="IO59" s="80"/>
      <c r="IP59" s="80"/>
      <c r="IQ59" s="80"/>
      <c r="IR59" s="80"/>
      <c r="IS59" s="80"/>
      <c r="IT59" s="80"/>
      <c r="IU59" s="80"/>
      <c r="IV59" s="80"/>
      <c r="IW59" s="80"/>
      <c r="IX59" s="80"/>
      <c r="IY59" s="80"/>
      <c r="IZ59" s="80"/>
      <c r="JA59" s="80"/>
      <c r="JB59" s="80"/>
      <c r="JC59" s="80"/>
      <c r="JD59" s="80"/>
      <c r="JE59" s="80"/>
      <c r="JF59" s="80"/>
      <c r="JG59" s="80"/>
      <c r="JH59" s="80"/>
      <c r="JI59" s="80"/>
      <c r="JJ59" s="80"/>
      <c r="JK59" s="80"/>
      <c r="JL59" s="80"/>
      <c r="JM59" s="80"/>
      <c r="JN59" s="80"/>
      <c r="JO59" s="80"/>
      <c r="JP59" s="80"/>
      <c r="JQ59" s="80"/>
      <c r="JR59" s="80"/>
      <c r="JS59" s="80"/>
      <c r="JT59" s="80"/>
      <c r="JU59" s="80"/>
      <c r="JV59" s="80"/>
      <c r="JW59" s="80"/>
    </row>
    <row r="60" ht="15.75" customHeight="1">
      <c r="A60" s="1"/>
      <c r="D60" s="6"/>
      <c r="E60" s="76"/>
      <c r="F60" s="76"/>
      <c r="G60" s="66"/>
      <c r="H60" s="6"/>
      <c r="I60" s="66"/>
      <c r="J60" s="6"/>
      <c r="K60" s="6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7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85"/>
      <c r="DI60" s="20"/>
      <c r="DJ60" s="20"/>
      <c r="DK60" s="20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9"/>
      <c r="GD60" s="79"/>
      <c r="GE60" s="79"/>
      <c r="GF60" s="79"/>
      <c r="GG60" s="79"/>
      <c r="GH60" s="79"/>
      <c r="GI60" s="79"/>
      <c r="GJ60" s="79"/>
      <c r="GK60" s="79"/>
      <c r="GL60" s="79"/>
      <c r="GM60" s="79"/>
      <c r="GN60" s="79"/>
      <c r="GO60" s="79"/>
      <c r="GP60" s="79"/>
      <c r="GQ60" s="79"/>
      <c r="GR60" s="79"/>
      <c r="GS60" s="79"/>
      <c r="GT60" s="79"/>
      <c r="GU60" s="79"/>
      <c r="GV60" s="79"/>
      <c r="GW60" s="79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80"/>
      <c r="HS60" s="80"/>
      <c r="HT60" s="80"/>
      <c r="HU60" s="80"/>
      <c r="HV60" s="80"/>
      <c r="HW60" s="80"/>
      <c r="HX60" s="80"/>
      <c r="HY60" s="80"/>
      <c r="HZ60" s="80"/>
      <c r="IA60" s="80"/>
      <c r="IB60" s="80"/>
      <c r="IC60" s="80"/>
      <c r="ID60" s="80"/>
      <c r="IE60" s="80"/>
      <c r="IF60" s="80"/>
      <c r="IG60" s="80"/>
      <c r="IH60" s="80"/>
      <c r="II60" s="80"/>
      <c r="IJ60" s="80"/>
      <c r="IK60" s="80"/>
      <c r="IL60" s="80"/>
      <c r="IM60" s="80"/>
      <c r="IN60" s="80"/>
      <c r="IO60" s="80"/>
      <c r="IP60" s="80"/>
      <c r="IQ60" s="80"/>
      <c r="IR60" s="80"/>
      <c r="IS60" s="80"/>
      <c r="IT60" s="80"/>
      <c r="IU60" s="80"/>
      <c r="IV60" s="80"/>
      <c r="IW60" s="80"/>
      <c r="IX60" s="80"/>
      <c r="IY60" s="80"/>
      <c r="IZ60" s="80"/>
      <c r="JA60" s="80"/>
      <c r="JB60" s="80"/>
      <c r="JC60" s="80"/>
      <c r="JD60" s="80"/>
      <c r="JE60" s="80"/>
      <c r="JF60" s="80"/>
      <c r="JG60" s="80"/>
      <c r="JH60" s="80"/>
      <c r="JI60" s="80"/>
      <c r="JJ60" s="80"/>
      <c r="JK60" s="80"/>
      <c r="JL60" s="80"/>
      <c r="JM60" s="80"/>
      <c r="JN60" s="80"/>
      <c r="JO60" s="80"/>
      <c r="JP60" s="80"/>
      <c r="JQ60" s="80"/>
      <c r="JR60" s="80"/>
      <c r="JS60" s="80"/>
      <c r="JT60" s="80"/>
      <c r="JU60" s="80"/>
      <c r="JV60" s="80"/>
      <c r="JW60" s="80"/>
    </row>
    <row r="61" ht="15.75" customHeight="1">
      <c r="A61" s="1"/>
      <c r="D61" s="6"/>
      <c r="E61" s="76"/>
      <c r="F61" s="76"/>
      <c r="G61" s="66"/>
      <c r="H61" s="6"/>
      <c r="I61" s="66"/>
      <c r="J61" s="6"/>
      <c r="K61" s="6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7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85"/>
      <c r="DI61" s="20"/>
      <c r="DJ61" s="20"/>
      <c r="DK61" s="20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9"/>
      <c r="GD61" s="79"/>
      <c r="GE61" s="79"/>
      <c r="GF61" s="79"/>
      <c r="GG61" s="79"/>
      <c r="GH61" s="79"/>
      <c r="GI61" s="79"/>
      <c r="GJ61" s="79"/>
      <c r="GK61" s="79"/>
      <c r="GL61" s="79"/>
      <c r="GM61" s="79"/>
      <c r="GN61" s="79"/>
      <c r="GO61" s="79"/>
      <c r="GP61" s="79"/>
      <c r="GQ61" s="79"/>
      <c r="GR61" s="79"/>
      <c r="GS61" s="79"/>
      <c r="GT61" s="79"/>
      <c r="GU61" s="79"/>
      <c r="GV61" s="79"/>
      <c r="GW61" s="79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80"/>
      <c r="HS61" s="80"/>
      <c r="HT61" s="80"/>
      <c r="HU61" s="80"/>
      <c r="HV61" s="80"/>
      <c r="HW61" s="80"/>
      <c r="HX61" s="80"/>
      <c r="HY61" s="80"/>
      <c r="HZ61" s="80"/>
      <c r="IA61" s="80"/>
      <c r="IB61" s="80"/>
      <c r="IC61" s="80"/>
      <c r="ID61" s="80"/>
      <c r="IE61" s="80"/>
      <c r="IF61" s="80"/>
      <c r="IG61" s="80"/>
      <c r="IH61" s="80"/>
      <c r="II61" s="80"/>
      <c r="IJ61" s="80"/>
      <c r="IK61" s="80"/>
      <c r="IL61" s="80"/>
      <c r="IM61" s="80"/>
      <c r="IN61" s="80"/>
      <c r="IO61" s="80"/>
      <c r="IP61" s="80"/>
      <c r="IQ61" s="80"/>
      <c r="IR61" s="80"/>
      <c r="IS61" s="80"/>
      <c r="IT61" s="80"/>
      <c r="IU61" s="80"/>
      <c r="IV61" s="80"/>
      <c r="IW61" s="80"/>
      <c r="IX61" s="80"/>
      <c r="IY61" s="80"/>
      <c r="IZ61" s="80"/>
      <c r="JA61" s="80"/>
      <c r="JB61" s="80"/>
      <c r="JC61" s="80"/>
      <c r="JD61" s="80"/>
      <c r="JE61" s="80"/>
      <c r="JF61" s="80"/>
      <c r="JG61" s="80"/>
      <c r="JH61" s="80"/>
      <c r="JI61" s="80"/>
      <c r="JJ61" s="80"/>
      <c r="JK61" s="80"/>
      <c r="JL61" s="80"/>
      <c r="JM61" s="80"/>
      <c r="JN61" s="80"/>
      <c r="JO61" s="80"/>
      <c r="JP61" s="80"/>
      <c r="JQ61" s="80"/>
      <c r="JR61" s="80"/>
      <c r="JS61" s="80"/>
      <c r="JT61" s="80"/>
      <c r="JU61" s="80"/>
      <c r="JV61" s="80"/>
      <c r="JW61" s="80"/>
    </row>
    <row r="62" ht="15.75" customHeight="1">
      <c r="A62" s="1"/>
      <c r="D62" s="6"/>
      <c r="E62" s="76"/>
      <c r="F62" s="76"/>
      <c r="G62" s="66"/>
      <c r="H62" s="6"/>
      <c r="I62" s="66"/>
      <c r="J62" s="6"/>
      <c r="K62" s="6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7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85"/>
      <c r="DI62" s="20"/>
      <c r="DJ62" s="20"/>
      <c r="DK62" s="20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9"/>
      <c r="GD62" s="79"/>
      <c r="GE62" s="79"/>
      <c r="GF62" s="79"/>
      <c r="GG62" s="79"/>
      <c r="GH62" s="79"/>
      <c r="GI62" s="79"/>
      <c r="GJ62" s="79"/>
      <c r="GK62" s="79"/>
      <c r="GL62" s="79"/>
      <c r="GM62" s="79"/>
      <c r="GN62" s="79"/>
      <c r="GO62" s="79"/>
      <c r="GP62" s="79"/>
      <c r="GQ62" s="79"/>
      <c r="GR62" s="79"/>
      <c r="GS62" s="79"/>
      <c r="GT62" s="79"/>
      <c r="GU62" s="79"/>
      <c r="GV62" s="79"/>
      <c r="GW62" s="79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80"/>
      <c r="HS62" s="80"/>
      <c r="HT62" s="80"/>
      <c r="HU62" s="80"/>
      <c r="HV62" s="80"/>
      <c r="HW62" s="80"/>
      <c r="HX62" s="80"/>
      <c r="HY62" s="80"/>
      <c r="HZ62" s="80"/>
      <c r="IA62" s="80"/>
      <c r="IB62" s="80"/>
      <c r="IC62" s="80"/>
      <c r="ID62" s="80"/>
      <c r="IE62" s="80"/>
      <c r="IF62" s="80"/>
      <c r="IG62" s="80"/>
      <c r="IH62" s="80"/>
      <c r="II62" s="80"/>
      <c r="IJ62" s="80"/>
      <c r="IK62" s="80"/>
      <c r="IL62" s="80"/>
      <c r="IM62" s="80"/>
      <c r="IN62" s="80"/>
      <c r="IO62" s="80"/>
      <c r="IP62" s="80"/>
      <c r="IQ62" s="80"/>
      <c r="IR62" s="80"/>
      <c r="IS62" s="80"/>
      <c r="IT62" s="80"/>
      <c r="IU62" s="80"/>
      <c r="IV62" s="80"/>
      <c r="IW62" s="80"/>
      <c r="IX62" s="80"/>
      <c r="IY62" s="80"/>
      <c r="IZ62" s="80"/>
      <c r="JA62" s="80"/>
      <c r="JB62" s="80"/>
      <c r="JC62" s="80"/>
      <c r="JD62" s="80"/>
      <c r="JE62" s="80"/>
      <c r="JF62" s="80"/>
      <c r="JG62" s="80"/>
      <c r="JH62" s="80"/>
      <c r="JI62" s="80"/>
      <c r="JJ62" s="80"/>
      <c r="JK62" s="80"/>
      <c r="JL62" s="80"/>
      <c r="JM62" s="80"/>
      <c r="JN62" s="80"/>
      <c r="JO62" s="80"/>
      <c r="JP62" s="80"/>
      <c r="JQ62" s="80"/>
      <c r="JR62" s="80"/>
      <c r="JS62" s="80"/>
      <c r="JT62" s="80"/>
      <c r="JU62" s="80"/>
      <c r="JV62" s="80"/>
      <c r="JW62" s="80"/>
    </row>
    <row r="63" ht="15.75" customHeight="1">
      <c r="A63" s="1"/>
      <c r="D63" s="6"/>
      <c r="E63" s="76"/>
      <c r="F63" s="76"/>
      <c r="G63" s="66"/>
      <c r="H63" s="6"/>
      <c r="I63" s="66"/>
      <c r="J63" s="6"/>
      <c r="K63" s="6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7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85"/>
      <c r="DI63" s="20"/>
      <c r="DJ63" s="20"/>
      <c r="DK63" s="20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9"/>
      <c r="GD63" s="79"/>
      <c r="GE63" s="79"/>
      <c r="GF63" s="79"/>
      <c r="GG63" s="79"/>
      <c r="GH63" s="79"/>
      <c r="GI63" s="79"/>
      <c r="GJ63" s="79"/>
      <c r="GK63" s="79"/>
      <c r="GL63" s="79"/>
      <c r="GM63" s="79"/>
      <c r="GN63" s="79"/>
      <c r="GO63" s="79"/>
      <c r="GP63" s="79"/>
      <c r="GQ63" s="79"/>
      <c r="GR63" s="79"/>
      <c r="GS63" s="79"/>
      <c r="GT63" s="79"/>
      <c r="GU63" s="79"/>
      <c r="GV63" s="79"/>
      <c r="GW63" s="79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80"/>
      <c r="HS63" s="80"/>
      <c r="HT63" s="80"/>
      <c r="HU63" s="80"/>
      <c r="HV63" s="80"/>
      <c r="HW63" s="80"/>
      <c r="HX63" s="80"/>
      <c r="HY63" s="80"/>
      <c r="HZ63" s="80"/>
      <c r="IA63" s="80"/>
      <c r="IB63" s="80"/>
      <c r="IC63" s="80"/>
      <c r="ID63" s="80"/>
      <c r="IE63" s="80"/>
      <c r="IF63" s="80"/>
      <c r="IG63" s="80"/>
      <c r="IH63" s="80"/>
      <c r="II63" s="80"/>
      <c r="IJ63" s="80"/>
      <c r="IK63" s="80"/>
      <c r="IL63" s="80"/>
      <c r="IM63" s="80"/>
      <c r="IN63" s="80"/>
      <c r="IO63" s="80"/>
      <c r="IP63" s="80"/>
      <c r="IQ63" s="80"/>
      <c r="IR63" s="80"/>
      <c r="IS63" s="80"/>
      <c r="IT63" s="80"/>
      <c r="IU63" s="80"/>
      <c r="IV63" s="80"/>
      <c r="IW63" s="80"/>
      <c r="IX63" s="80"/>
      <c r="IY63" s="80"/>
      <c r="IZ63" s="80"/>
      <c r="JA63" s="80"/>
      <c r="JB63" s="80"/>
      <c r="JC63" s="80"/>
      <c r="JD63" s="80"/>
      <c r="JE63" s="80"/>
      <c r="JF63" s="80"/>
      <c r="JG63" s="80"/>
      <c r="JH63" s="80"/>
      <c r="JI63" s="80"/>
      <c r="JJ63" s="80"/>
      <c r="JK63" s="80"/>
      <c r="JL63" s="80"/>
      <c r="JM63" s="80"/>
      <c r="JN63" s="80"/>
      <c r="JO63" s="80"/>
      <c r="JP63" s="80"/>
      <c r="JQ63" s="80"/>
      <c r="JR63" s="80"/>
      <c r="JS63" s="80"/>
      <c r="JT63" s="80"/>
      <c r="JU63" s="80"/>
      <c r="JV63" s="80"/>
      <c r="JW63" s="80"/>
    </row>
    <row r="64" ht="15.75" customHeight="1">
      <c r="A64" s="1"/>
      <c r="D64" s="6"/>
      <c r="E64" s="76"/>
      <c r="F64" s="76"/>
      <c r="G64" s="66"/>
      <c r="H64" s="6"/>
      <c r="I64" s="66"/>
      <c r="J64" s="6"/>
      <c r="K64" s="6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7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85"/>
      <c r="DI64" s="20"/>
      <c r="DJ64" s="20"/>
      <c r="DK64" s="20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9"/>
      <c r="GD64" s="79"/>
      <c r="GE64" s="79"/>
      <c r="GF64" s="79"/>
      <c r="GG64" s="79"/>
      <c r="GH64" s="79"/>
      <c r="GI64" s="79"/>
      <c r="GJ64" s="79"/>
      <c r="GK64" s="79"/>
      <c r="GL64" s="79"/>
      <c r="GM64" s="79"/>
      <c r="GN64" s="79"/>
      <c r="GO64" s="79"/>
      <c r="GP64" s="79"/>
      <c r="GQ64" s="79"/>
      <c r="GR64" s="79"/>
      <c r="GS64" s="79"/>
      <c r="GT64" s="79"/>
      <c r="GU64" s="79"/>
      <c r="GV64" s="79"/>
      <c r="GW64" s="79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80"/>
      <c r="HS64" s="80"/>
      <c r="HT64" s="80"/>
      <c r="HU64" s="80"/>
      <c r="HV64" s="80"/>
      <c r="HW64" s="80"/>
      <c r="HX64" s="80"/>
      <c r="HY64" s="80"/>
      <c r="HZ64" s="80"/>
      <c r="IA64" s="80"/>
      <c r="IB64" s="80"/>
      <c r="IC64" s="80"/>
      <c r="ID64" s="80"/>
      <c r="IE64" s="80"/>
      <c r="IF64" s="80"/>
      <c r="IG64" s="80"/>
      <c r="IH64" s="80"/>
      <c r="II64" s="80"/>
      <c r="IJ64" s="80"/>
      <c r="IK64" s="80"/>
      <c r="IL64" s="80"/>
      <c r="IM64" s="80"/>
      <c r="IN64" s="80"/>
      <c r="IO64" s="80"/>
      <c r="IP64" s="80"/>
      <c r="IQ64" s="80"/>
      <c r="IR64" s="80"/>
      <c r="IS64" s="80"/>
      <c r="IT64" s="80"/>
      <c r="IU64" s="80"/>
      <c r="IV64" s="80"/>
      <c r="IW64" s="80"/>
      <c r="IX64" s="80"/>
      <c r="IY64" s="80"/>
      <c r="IZ64" s="80"/>
      <c r="JA64" s="80"/>
      <c r="JB64" s="80"/>
      <c r="JC64" s="80"/>
      <c r="JD64" s="80"/>
      <c r="JE64" s="80"/>
      <c r="JF64" s="80"/>
      <c r="JG64" s="80"/>
      <c r="JH64" s="80"/>
      <c r="JI64" s="80"/>
      <c r="JJ64" s="80"/>
      <c r="JK64" s="80"/>
      <c r="JL64" s="80"/>
      <c r="JM64" s="80"/>
      <c r="JN64" s="80"/>
      <c r="JO64" s="80"/>
      <c r="JP64" s="80"/>
      <c r="JQ64" s="80"/>
      <c r="JR64" s="80"/>
      <c r="JS64" s="80"/>
      <c r="JT64" s="80"/>
      <c r="JU64" s="80"/>
      <c r="JV64" s="80"/>
      <c r="JW64" s="80"/>
    </row>
    <row r="65" ht="15.75" customHeight="1">
      <c r="A65" s="1"/>
      <c r="D65" s="6"/>
      <c r="E65" s="76"/>
      <c r="F65" s="76"/>
      <c r="G65" s="66"/>
      <c r="H65" s="6"/>
      <c r="I65" s="66"/>
      <c r="J65" s="6"/>
      <c r="K65" s="6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7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85"/>
      <c r="DI65" s="20"/>
      <c r="DJ65" s="20"/>
      <c r="DK65" s="20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9"/>
      <c r="GD65" s="79"/>
      <c r="GE65" s="79"/>
      <c r="GF65" s="79"/>
      <c r="GG65" s="79"/>
      <c r="GH65" s="79"/>
      <c r="GI65" s="79"/>
      <c r="GJ65" s="79"/>
      <c r="GK65" s="79"/>
      <c r="GL65" s="79"/>
      <c r="GM65" s="79"/>
      <c r="GN65" s="79"/>
      <c r="GO65" s="79"/>
      <c r="GP65" s="79"/>
      <c r="GQ65" s="79"/>
      <c r="GR65" s="79"/>
      <c r="GS65" s="79"/>
      <c r="GT65" s="79"/>
      <c r="GU65" s="79"/>
      <c r="GV65" s="79"/>
      <c r="GW65" s="79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80"/>
      <c r="HS65" s="80"/>
      <c r="HT65" s="80"/>
      <c r="HU65" s="80"/>
      <c r="HV65" s="80"/>
      <c r="HW65" s="80"/>
      <c r="HX65" s="80"/>
      <c r="HY65" s="80"/>
      <c r="HZ65" s="80"/>
      <c r="IA65" s="80"/>
      <c r="IB65" s="80"/>
      <c r="IC65" s="80"/>
      <c r="ID65" s="80"/>
      <c r="IE65" s="80"/>
      <c r="IF65" s="80"/>
      <c r="IG65" s="80"/>
      <c r="IH65" s="80"/>
      <c r="II65" s="80"/>
      <c r="IJ65" s="80"/>
      <c r="IK65" s="80"/>
      <c r="IL65" s="80"/>
      <c r="IM65" s="80"/>
      <c r="IN65" s="80"/>
      <c r="IO65" s="80"/>
      <c r="IP65" s="80"/>
      <c r="IQ65" s="80"/>
      <c r="IR65" s="80"/>
      <c r="IS65" s="80"/>
      <c r="IT65" s="80"/>
      <c r="IU65" s="80"/>
      <c r="IV65" s="80"/>
      <c r="IW65" s="80"/>
      <c r="IX65" s="80"/>
      <c r="IY65" s="80"/>
      <c r="IZ65" s="80"/>
      <c r="JA65" s="80"/>
      <c r="JB65" s="80"/>
      <c r="JC65" s="80"/>
      <c r="JD65" s="80"/>
      <c r="JE65" s="80"/>
      <c r="JF65" s="80"/>
      <c r="JG65" s="80"/>
      <c r="JH65" s="80"/>
      <c r="JI65" s="80"/>
      <c r="JJ65" s="80"/>
      <c r="JK65" s="80"/>
      <c r="JL65" s="80"/>
      <c r="JM65" s="80"/>
      <c r="JN65" s="80"/>
      <c r="JO65" s="80"/>
      <c r="JP65" s="80"/>
      <c r="JQ65" s="80"/>
      <c r="JR65" s="80"/>
      <c r="JS65" s="80"/>
      <c r="JT65" s="80"/>
      <c r="JU65" s="80"/>
      <c r="JV65" s="80"/>
      <c r="JW65" s="80"/>
    </row>
    <row r="66" ht="15.75" customHeight="1">
      <c r="A66" s="1"/>
      <c r="D66" s="6"/>
      <c r="E66" s="76"/>
      <c r="F66" s="76"/>
      <c r="G66" s="66"/>
      <c r="H66" s="6"/>
      <c r="I66" s="66"/>
      <c r="J66" s="6"/>
      <c r="K66" s="6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7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85"/>
      <c r="DI66" s="20"/>
      <c r="DJ66" s="20"/>
      <c r="DK66" s="20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9"/>
      <c r="GD66" s="79"/>
      <c r="GE66" s="79"/>
      <c r="GF66" s="79"/>
      <c r="GG66" s="79"/>
      <c r="GH66" s="79"/>
      <c r="GI66" s="79"/>
      <c r="GJ66" s="79"/>
      <c r="GK66" s="79"/>
      <c r="GL66" s="79"/>
      <c r="GM66" s="79"/>
      <c r="GN66" s="79"/>
      <c r="GO66" s="79"/>
      <c r="GP66" s="79"/>
      <c r="GQ66" s="79"/>
      <c r="GR66" s="79"/>
      <c r="GS66" s="79"/>
      <c r="GT66" s="79"/>
      <c r="GU66" s="79"/>
      <c r="GV66" s="79"/>
      <c r="GW66" s="79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80"/>
      <c r="HS66" s="80"/>
      <c r="HT66" s="80"/>
      <c r="HU66" s="80"/>
      <c r="HV66" s="80"/>
      <c r="HW66" s="80"/>
      <c r="HX66" s="80"/>
      <c r="HY66" s="80"/>
      <c r="HZ66" s="80"/>
      <c r="IA66" s="80"/>
      <c r="IB66" s="80"/>
      <c r="IC66" s="80"/>
      <c r="ID66" s="80"/>
      <c r="IE66" s="80"/>
      <c r="IF66" s="80"/>
      <c r="IG66" s="80"/>
      <c r="IH66" s="80"/>
      <c r="II66" s="80"/>
      <c r="IJ66" s="80"/>
      <c r="IK66" s="80"/>
      <c r="IL66" s="80"/>
      <c r="IM66" s="80"/>
      <c r="IN66" s="80"/>
      <c r="IO66" s="80"/>
      <c r="IP66" s="80"/>
      <c r="IQ66" s="80"/>
      <c r="IR66" s="80"/>
      <c r="IS66" s="80"/>
      <c r="IT66" s="80"/>
      <c r="IU66" s="80"/>
      <c r="IV66" s="80"/>
      <c r="IW66" s="80"/>
      <c r="IX66" s="80"/>
      <c r="IY66" s="80"/>
      <c r="IZ66" s="80"/>
      <c r="JA66" s="80"/>
      <c r="JB66" s="80"/>
      <c r="JC66" s="80"/>
      <c r="JD66" s="80"/>
      <c r="JE66" s="80"/>
      <c r="JF66" s="80"/>
      <c r="JG66" s="80"/>
      <c r="JH66" s="80"/>
      <c r="JI66" s="80"/>
      <c r="JJ66" s="80"/>
      <c r="JK66" s="80"/>
      <c r="JL66" s="80"/>
      <c r="JM66" s="80"/>
      <c r="JN66" s="80"/>
      <c r="JO66" s="80"/>
      <c r="JP66" s="80"/>
      <c r="JQ66" s="80"/>
      <c r="JR66" s="80"/>
      <c r="JS66" s="80"/>
      <c r="JT66" s="80"/>
      <c r="JU66" s="80"/>
      <c r="JV66" s="80"/>
      <c r="JW66" s="80"/>
    </row>
    <row r="67" ht="15.75" customHeight="1">
      <c r="A67" s="1"/>
      <c r="D67" s="6"/>
      <c r="E67" s="76"/>
      <c r="F67" s="76"/>
      <c r="G67" s="66"/>
      <c r="H67" s="6"/>
      <c r="I67" s="66"/>
      <c r="J67" s="6"/>
      <c r="K67" s="6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7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85"/>
      <c r="DI67" s="20"/>
      <c r="DJ67" s="20"/>
      <c r="DK67" s="20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9"/>
      <c r="GD67" s="79"/>
      <c r="GE67" s="79"/>
      <c r="GF67" s="79"/>
      <c r="GG67" s="79"/>
      <c r="GH67" s="79"/>
      <c r="GI67" s="79"/>
      <c r="GJ67" s="79"/>
      <c r="GK67" s="79"/>
      <c r="GL67" s="79"/>
      <c r="GM67" s="79"/>
      <c r="GN67" s="79"/>
      <c r="GO67" s="79"/>
      <c r="GP67" s="79"/>
      <c r="GQ67" s="79"/>
      <c r="GR67" s="79"/>
      <c r="GS67" s="79"/>
      <c r="GT67" s="79"/>
      <c r="GU67" s="79"/>
      <c r="GV67" s="79"/>
      <c r="GW67" s="79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80"/>
      <c r="HS67" s="80"/>
      <c r="HT67" s="80"/>
      <c r="HU67" s="80"/>
      <c r="HV67" s="80"/>
      <c r="HW67" s="80"/>
      <c r="HX67" s="80"/>
      <c r="HY67" s="80"/>
      <c r="HZ67" s="80"/>
      <c r="IA67" s="80"/>
      <c r="IB67" s="80"/>
      <c r="IC67" s="80"/>
      <c r="ID67" s="80"/>
      <c r="IE67" s="80"/>
      <c r="IF67" s="80"/>
      <c r="IG67" s="80"/>
      <c r="IH67" s="80"/>
      <c r="II67" s="80"/>
      <c r="IJ67" s="80"/>
      <c r="IK67" s="80"/>
      <c r="IL67" s="80"/>
      <c r="IM67" s="80"/>
      <c r="IN67" s="80"/>
      <c r="IO67" s="80"/>
      <c r="IP67" s="80"/>
      <c r="IQ67" s="80"/>
      <c r="IR67" s="80"/>
      <c r="IS67" s="80"/>
      <c r="IT67" s="80"/>
      <c r="IU67" s="80"/>
      <c r="IV67" s="80"/>
      <c r="IW67" s="80"/>
      <c r="IX67" s="80"/>
      <c r="IY67" s="80"/>
      <c r="IZ67" s="80"/>
      <c r="JA67" s="80"/>
      <c r="JB67" s="80"/>
      <c r="JC67" s="80"/>
      <c r="JD67" s="80"/>
      <c r="JE67" s="80"/>
      <c r="JF67" s="80"/>
      <c r="JG67" s="80"/>
      <c r="JH67" s="80"/>
      <c r="JI67" s="80"/>
      <c r="JJ67" s="80"/>
      <c r="JK67" s="80"/>
      <c r="JL67" s="80"/>
      <c r="JM67" s="80"/>
      <c r="JN67" s="80"/>
      <c r="JO67" s="80"/>
      <c r="JP67" s="80"/>
      <c r="JQ67" s="80"/>
      <c r="JR67" s="80"/>
      <c r="JS67" s="80"/>
      <c r="JT67" s="80"/>
      <c r="JU67" s="80"/>
      <c r="JV67" s="80"/>
      <c r="JW67" s="80"/>
    </row>
    <row r="68" ht="15.75" customHeight="1">
      <c r="A68" s="1"/>
      <c r="D68" s="6"/>
      <c r="E68" s="76"/>
      <c r="F68" s="76"/>
      <c r="G68" s="66"/>
      <c r="H68" s="6"/>
      <c r="I68" s="66"/>
      <c r="J68" s="6"/>
      <c r="K68" s="6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7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85"/>
      <c r="DI68" s="20"/>
      <c r="DJ68" s="20"/>
      <c r="DK68" s="20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9"/>
      <c r="GD68" s="79"/>
      <c r="GE68" s="79"/>
      <c r="GF68" s="79"/>
      <c r="GG68" s="79"/>
      <c r="GH68" s="79"/>
      <c r="GI68" s="79"/>
      <c r="GJ68" s="79"/>
      <c r="GK68" s="79"/>
      <c r="GL68" s="79"/>
      <c r="GM68" s="79"/>
      <c r="GN68" s="79"/>
      <c r="GO68" s="79"/>
      <c r="GP68" s="79"/>
      <c r="GQ68" s="79"/>
      <c r="GR68" s="79"/>
      <c r="GS68" s="79"/>
      <c r="GT68" s="79"/>
      <c r="GU68" s="79"/>
      <c r="GV68" s="79"/>
      <c r="GW68" s="79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80"/>
      <c r="HS68" s="80"/>
      <c r="HT68" s="80"/>
      <c r="HU68" s="80"/>
      <c r="HV68" s="80"/>
      <c r="HW68" s="80"/>
      <c r="HX68" s="80"/>
      <c r="HY68" s="80"/>
      <c r="HZ68" s="80"/>
      <c r="IA68" s="80"/>
      <c r="IB68" s="80"/>
      <c r="IC68" s="80"/>
      <c r="ID68" s="80"/>
      <c r="IE68" s="80"/>
      <c r="IF68" s="80"/>
      <c r="IG68" s="80"/>
      <c r="IH68" s="80"/>
      <c r="II68" s="80"/>
      <c r="IJ68" s="80"/>
      <c r="IK68" s="80"/>
      <c r="IL68" s="80"/>
      <c r="IM68" s="80"/>
      <c r="IN68" s="80"/>
      <c r="IO68" s="80"/>
      <c r="IP68" s="80"/>
      <c r="IQ68" s="80"/>
      <c r="IR68" s="80"/>
      <c r="IS68" s="80"/>
      <c r="IT68" s="80"/>
      <c r="IU68" s="80"/>
      <c r="IV68" s="80"/>
      <c r="IW68" s="80"/>
      <c r="IX68" s="80"/>
      <c r="IY68" s="80"/>
      <c r="IZ68" s="80"/>
      <c r="JA68" s="80"/>
      <c r="JB68" s="80"/>
      <c r="JC68" s="80"/>
      <c r="JD68" s="80"/>
      <c r="JE68" s="80"/>
      <c r="JF68" s="80"/>
      <c r="JG68" s="80"/>
      <c r="JH68" s="80"/>
      <c r="JI68" s="80"/>
      <c r="JJ68" s="80"/>
      <c r="JK68" s="80"/>
      <c r="JL68" s="80"/>
      <c r="JM68" s="80"/>
      <c r="JN68" s="80"/>
      <c r="JO68" s="80"/>
      <c r="JP68" s="80"/>
      <c r="JQ68" s="80"/>
      <c r="JR68" s="80"/>
      <c r="JS68" s="80"/>
      <c r="JT68" s="80"/>
      <c r="JU68" s="80"/>
      <c r="JV68" s="80"/>
      <c r="JW68" s="80"/>
    </row>
    <row r="69" ht="15.75" customHeight="1">
      <c r="A69" s="1"/>
      <c r="D69" s="6"/>
      <c r="E69" s="76"/>
      <c r="F69" s="76"/>
      <c r="G69" s="66"/>
      <c r="H69" s="6"/>
      <c r="I69" s="66"/>
      <c r="J69" s="6"/>
      <c r="K69" s="6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7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85"/>
      <c r="DI69" s="20"/>
      <c r="DJ69" s="20"/>
      <c r="DK69" s="20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9"/>
      <c r="GD69" s="79"/>
      <c r="GE69" s="79"/>
      <c r="GF69" s="79"/>
      <c r="GG69" s="79"/>
      <c r="GH69" s="79"/>
      <c r="GI69" s="79"/>
      <c r="GJ69" s="79"/>
      <c r="GK69" s="79"/>
      <c r="GL69" s="79"/>
      <c r="GM69" s="79"/>
      <c r="GN69" s="79"/>
      <c r="GO69" s="79"/>
      <c r="GP69" s="79"/>
      <c r="GQ69" s="79"/>
      <c r="GR69" s="79"/>
      <c r="GS69" s="79"/>
      <c r="GT69" s="79"/>
      <c r="GU69" s="79"/>
      <c r="GV69" s="79"/>
      <c r="GW69" s="79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80"/>
      <c r="HS69" s="80"/>
      <c r="HT69" s="80"/>
      <c r="HU69" s="80"/>
      <c r="HV69" s="80"/>
      <c r="HW69" s="80"/>
      <c r="HX69" s="80"/>
      <c r="HY69" s="80"/>
      <c r="HZ69" s="80"/>
      <c r="IA69" s="80"/>
      <c r="IB69" s="80"/>
      <c r="IC69" s="80"/>
      <c r="ID69" s="80"/>
      <c r="IE69" s="80"/>
      <c r="IF69" s="80"/>
      <c r="IG69" s="80"/>
      <c r="IH69" s="80"/>
      <c r="II69" s="80"/>
      <c r="IJ69" s="80"/>
      <c r="IK69" s="80"/>
      <c r="IL69" s="80"/>
      <c r="IM69" s="80"/>
      <c r="IN69" s="80"/>
      <c r="IO69" s="80"/>
      <c r="IP69" s="80"/>
      <c r="IQ69" s="80"/>
      <c r="IR69" s="80"/>
      <c r="IS69" s="80"/>
      <c r="IT69" s="80"/>
      <c r="IU69" s="80"/>
      <c r="IV69" s="80"/>
      <c r="IW69" s="80"/>
      <c r="IX69" s="80"/>
      <c r="IY69" s="80"/>
      <c r="IZ69" s="80"/>
      <c r="JA69" s="80"/>
      <c r="JB69" s="80"/>
      <c r="JC69" s="80"/>
      <c r="JD69" s="80"/>
      <c r="JE69" s="80"/>
      <c r="JF69" s="80"/>
      <c r="JG69" s="80"/>
      <c r="JH69" s="80"/>
      <c r="JI69" s="80"/>
      <c r="JJ69" s="80"/>
      <c r="JK69" s="80"/>
      <c r="JL69" s="80"/>
      <c r="JM69" s="80"/>
      <c r="JN69" s="80"/>
      <c r="JO69" s="80"/>
      <c r="JP69" s="80"/>
      <c r="JQ69" s="80"/>
      <c r="JR69" s="80"/>
      <c r="JS69" s="80"/>
      <c r="JT69" s="80"/>
      <c r="JU69" s="80"/>
      <c r="JV69" s="80"/>
      <c r="JW69" s="80"/>
    </row>
    <row r="70" ht="15.75" customHeight="1">
      <c r="A70" s="1"/>
      <c r="D70" s="6"/>
      <c r="E70" s="76"/>
      <c r="F70" s="76"/>
      <c r="G70" s="66"/>
      <c r="H70" s="6"/>
      <c r="I70" s="66"/>
      <c r="J70" s="6"/>
      <c r="K70" s="6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7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85"/>
      <c r="DI70" s="20"/>
      <c r="DJ70" s="20"/>
      <c r="DK70" s="20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9"/>
      <c r="GD70" s="79"/>
      <c r="GE70" s="79"/>
      <c r="GF70" s="79"/>
      <c r="GG70" s="79"/>
      <c r="GH70" s="79"/>
      <c r="GI70" s="79"/>
      <c r="GJ70" s="79"/>
      <c r="GK70" s="79"/>
      <c r="GL70" s="79"/>
      <c r="GM70" s="79"/>
      <c r="GN70" s="79"/>
      <c r="GO70" s="79"/>
      <c r="GP70" s="79"/>
      <c r="GQ70" s="79"/>
      <c r="GR70" s="79"/>
      <c r="GS70" s="79"/>
      <c r="GT70" s="79"/>
      <c r="GU70" s="79"/>
      <c r="GV70" s="79"/>
      <c r="GW70" s="79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80"/>
      <c r="HS70" s="80"/>
      <c r="HT70" s="80"/>
      <c r="HU70" s="80"/>
      <c r="HV70" s="80"/>
      <c r="HW70" s="80"/>
      <c r="HX70" s="80"/>
      <c r="HY70" s="80"/>
      <c r="HZ70" s="80"/>
      <c r="IA70" s="80"/>
      <c r="IB70" s="80"/>
      <c r="IC70" s="80"/>
      <c r="ID70" s="80"/>
      <c r="IE70" s="80"/>
      <c r="IF70" s="80"/>
      <c r="IG70" s="80"/>
      <c r="IH70" s="80"/>
      <c r="II70" s="80"/>
      <c r="IJ70" s="80"/>
      <c r="IK70" s="80"/>
      <c r="IL70" s="80"/>
      <c r="IM70" s="80"/>
      <c r="IN70" s="80"/>
      <c r="IO70" s="80"/>
      <c r="IP70" s="80"/>
      <c r="IQ70" s="80"/>
      <c r="IR70" s="80"/>
      <c r="IS70" s="80"/>
      <c r="IT70" s="80"/>
      <c r="IU70" s="80"/>
      <c r="IV70" s="80"/>
      <c r="IW70" s="80"/>
      <c r="IX70" s="80"/>
      <c r="IY70" s="80"/>
      <c r="IZ70" s="80"/>
      <c r="JA70" s="80"/>
      <c r="JB70" s="80"/>
      <c r="JC70" s="80"/>
      <c r="JD70" s="80"/>
      <c r="JE70" s="80"/>
      <c r="JF70" s="80"/>
      <c r="JG70" s="80"/>
      <c r="JH70" s="80"/>
      <c r="JI70" s="80"/>
      <c r="JJ70" s="80"/>
      <c r="JK70" s="80"/>
      <c r="JL70" s="80"/>
      <c r="JM70" s="80"/>
      <c r="JN70" s="80"/>
      <c r="JO70" s="80"/>
      <c r="JP70" s="80"/>
      <c r="JQ70" s="80"/>
      <c r="JR70" s="80"/>
      <c r="JS70" s="80"/>
      <c r="JT70" s="80"/>
      <c r="JU70" s="80"/>
      <c r="JV70" s="80"/>
      <c r="JW70" s="80"/>
    </row>
    <row r="71" ht="15.75" customHeight="1">
      <c r="A71" s="1"/>
      <c r="D71" s="6"/>
      <c r="E71" s="76"/>
      <c r="F71" s="76"/>
      <c r="G71" s="66"/>
      <c r="H71" s="6"/>
      <c r="I71" s="66"/>
      <c r="J71" s="6"/>
      <c r="K71" s="6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7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85"/>
      <c r="DI71" s="20"/>
      <c r="DJ71" s="20"/>
      <c r="DK71" s="20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9"/>
      <c r="GD71" s="79"/>
      <c r="GE71" s="79"/>
      <c r="GF71" s="79"/>
      <c r="GG71" s="79"/>
      <c r="GH71" s="79"/>
      <c r="GI71" s="79"/>
      <c r="GJ71" s="79"/>
      <c r="GK71" s="79"/>
      <c r="GL71" s="79"/>
      <c r="GM71" s="79"/>
      <c r="GN71" s="79"/>
      <c r="GO71" s="79"/>
      <c r="GP71" s="79"/>
      <c r="GQ71" s="79"/>
      <c r="GR71" s="79"/>
      <c r="GS71" s="79"/>
      <c r="GT71" s="79"/>
      <c r="GU71" s="79"/>
      <c r="GV71" s="79"/>
      <c r="GW71" s="79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80"/>
      <c r="HS71" s="80"/>
      <c r="HT71" s="80"/>
      <c r="HU71" s="80"/>
      <c r="HV71" s="80"/>
      <c r="HW71" s="80"/>
      <c r="HX71" s="80"/>
      <c r="HY71" s="80"/>
      <c r="HZ71" s="80"/>
      <c r="IA71" s="80"/>
      <c r="IB71" s="80"/>
      <c r="IC71" s="80"/>
      <c r="ID71" s="80"/>
      <c r="IE71" s="80"/>
      <c r="IF71" s="80"/>
      <c r="IG71" s="80"/>
      <c r="IH71" s="80"/>
      <c r="II71" s="80"/>
      <c r="IJ71" s="80"/>
      <c r="IK71" s="80"/>
      <c r="IL71" s="80"/>
      <c r="IM71" s="80"/>
      <c r="IN71" s="80"/>
      <c r="IO71" s="80"/>
      <c r="IP71" s="80"/>
      <c r="IQ71" s="80"/>
      <c r="IR71" s="80"/>
      <c r="IS71" s="80"/>
      <c r="IT71" s="80"/>
      <c r="IU71" s="80"/>
      <c r="IV71" s="80"/>
      <c r="IW71" s="80"/>
      <c r="IX71" s="80"/>
      <c r="IY71" s="80"/>
      <c r="IZ71" s="80"/>
      <c r="JA71" s="80"/>
      <c r="JB71" s="80"/>
      <c r="JC71" s="80"/>
      <c r="JD71" s="80"/>
      <c r="JE71" s="80"/>
      <c r="JF71" s="80"/>
      <c r="JG71" s="80"/>
      <c r="JH71" s="80"/>
      <c r="JI71" s="80"/>
      <c r="JJ71" s="80"/>
      <c r="JK71" s="80"/>
      <c r="JL71" s="80"/>
      <c r="JM71" s="80"/>
      <c r="JN71" s="80"/>
      <c r="JO71" s="80"/>
      <c r="JP71" s="80"/>
      <c r="JQ71" s="80"/>
      <c r="JR71" s="80"/>
      <c r="JS71" s="80"/>
      <c r="JT71" s="80"/>
      <c r="JU71" s="80"/>
      <c r="JV71" s="80"/>
      <c r="JW71" s="80"/>
    </row>
    <row r="72" ht="15.75" customHeight="1">
      <c r="A72" s="1"/>
      <c r="D72" s="6"/>
      <c r="E72" s="76"/>
      <c r="F72" s="76"/>
      <c r="G72" s="66"/>
      <c r="H72" s="6"/>
      <c r="I72" s="66"/>
      <c r="J72" s="6"/>
      <c r="K72" s="6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7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85"/>
      <c r="DI72" s="20"/>
      <c r="DJ72" s="20"/>
      <c r="DK72" s="20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9"/>
      <c r="GD72" s="79"/>
      <c r="GE72" s="79"/>
      <c r="GF72" s="79"/>
      <c r="GG72" s="79"/>
      <c r="GH72" s="79"/>
      <c r="GI72" s="79"/>
      <c r="GJ72" s="79"/>
      <c r="GK72" s="79"/>
      <c r="GL72" s="79"/>
      <c r="GM72" s="79"/>
      <c r="GN72" s="79"/>
      <c r="GO72" s="79"/>
      <c r="GP72" s="79"/>
      <c r="GQ72" s="79"/>
      <c r="GR72" s="79"/>
      <c r="GS72" s="79"/>
      <c r="GT72" s="79"/>
      <c r="GU72" s="79"/>
      <c r="GV72" s="79"/>
      <c r="GW72" s="79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80"/>
      <c r="HS72" s="80"/>
      <c r="HT72" s="80"/>
      <c r="HU72" s="80"/>
      <c r="HV72" s="80"/>
      <c r="HW72" s="80"/>
      <c r="HX72" s="80"/>
      <c r="HY72" s="80"/>
      <c r="HZ72" s="80"/>
      <c r="IA72" s="80"/>
      <c r="IB72" s="80"/>
      <c r="IC72" s="80"/>
      <c r="ID72" s="80"/>
      <c r="IE72" s="80"/>
      <c r="IF72" s="80"/>
      <c r="IG72" s="80"/>
      <c r="IH72" s="80"/>
      <c r="II72" s="80"/>
      <c r="IJ72" s="80"/>
      <c r="IK72" s="80"/>
      <c r="IL72" s="80"/>
      <c r="IM72" s="80"/>
      <c r="IN72" s="80"/>
      <c r="IO72" s="80"/>
      <c r="IP72" s="80"/>
      <c r="IQ72" s="80"/>
      <c r="IR72" s="80"/>
      <c r="IS72" s="80"/>
      <c r="IT72" s="80"/>
      <c r="IU72" s="80"/>
      <c r="IV72" s="80"/>
      <c r="IW72" s="80"/>
      <c r="IX72" s="80"/>
      <c r="IY72" s="80"/>
      <c r="IZ72" s="80"/>
      <c r="JA72" s="80"/>
      <c r="JB72" s="80"/>
      <c r="JC72" s="80"/>
      <c r="JD72" s="80"/>
      <c r="JE72" s="80"/>
      <c r="JF72" s="80"/>
      <c r="JG72" s="80"/>
      <c r="JH72" s="80"/>
      <c r="JI72" s="80"/>
      <c r="JJ72" s="80"/>
      <c r="JK72" s="80"/>
      <c r="JL72" s="80"/>
      <c r="JM72" s="80"/>
      <c r="JN72" s="80"/>
      <c r="JO72" s="80"/>
      <c r="JP72" s="80"/>
      <c r="JQ72" s="80"/>
      <c r="JR72" s="80"/>
      <c r="JS72" s="80"/>
      <c r="JT72" s="80"/>
      <c r="JU72" s="80"/>
      <c r="JV72" s="80"/>
      <c r="JW72" s="80"/>
    </row>
    <row r="73" ht="15.75" customHeight="1">
      <c r="A73" s="1"/>
      <c r="D73" s="6"/>
      <c r="E73" s="76"/>
      <c r="F73" s="76"/>
      <c r="G73" s="66"/>
      <c r="H73" s="6"/>
      <c r="I73" s="66"/>
      <c r="J73" s="6"/>
      <c r="K73" s="6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7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85"/>
      <c r="DI73" s="20"/>
      <c r="DJ73" s="20"/>
      <c r="DK73" s="20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9"/>
      <c r="GD73" s="79"/>
      <c r="GE73" s="79"/>
      <c r="GF73" s="79"/>
      <c r="GG73" s="79"/>
      <c r="GH73" s="79"/>
      <c r="GI73" s="79"/>
      <c r="GJ73" s="79"/>
      <c r="GK73" s="79"/>
      <c r="GL73" s="79"/>
      <c r="GM73" s="79"/>
      <c r="GN73" s="79"/>
      <c r="GO73" s="79"/>
      <c r="GP73" s="79"/>
      <c r="GQ73" s="79"/>
      <c r="GR73" s="79"/>
      <c r="GS73" s="79"/>
      <c r="GT73" s="79"/>
      <c r="GU73" s="79"/>
      <c r="GV73" s="79"/>
      <c r="GW73" s="79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80"/>
      <c r="HS73" s="80"/>
      <c r="HT73" s="80"/>
      <c r="HU73" s="80"/>
      <c r="HV73" s="80"/>
      <c r="HW73" s="80"/>
      <c r="HX73" s="80"/>
      <c r="HY73" s="80"/>
      <c r="HZ73" s="80"/>
      <c r="IA73" s="80"/>
      <c r="IB73" s="80"/>
      <c r="IC73" s="80"/>
      <c r="ID73" s="80"/>
      <c r="IE73" s="80"/>
      <c r="IF73" s="80"/>
      <c r="IG73" s="80"/>
      <c r="IH73" s="80"/>
      <c r="II73" s="80"/>
      <c r="IJ73" s="80"/>
      <c r="IK73" s="80"/>
      <c r="IL73" s="80"/>
      <c r="IM73" s="80"/>
      <c r="IN73" s="80"/>
      <c r="IO73" s="80"/>
      <c r="IP73" s="80"/>
      <c r="IQ73" s="80"/>
      <c r="IR73" s="80"/>
      <c r="IS73" s="80"/>
      <c r="IT73" s="80"/>
      <c r="IU73" s="80"/>
      <c r="IV73" s="80"/>
      <c r="IW73" s="80"/>
      <c r="IX73" s="80"/>
      <c r="IY73" s="80"/>
      <c r="IZ73" s="80"/>
      <c r="JA73" s="80"/>
      <c r="JB73" s="80"/>
      <c r="JC73" s="80"/>
      <c r="JD73" s="80"/>
      <c r="JE73" s="80"/>
      <c r="JF73" s="80"/>
      <c r="JG73" s="80"/>
      <c r="JH73" s="80"/>
      <c r="JI73" s="80"/>
      <c r="JJ73" s="80"/>
      <c r="JK73" s="80"/>
      <c r="JL73" s="80"/>
      <c r="JM73" s="80"/>
      <c r="JN73" s="80"/>
      <c r="JO73" s="80"/>
      <c r="JP73" s="80"/>
      <c r="JQ73" s="80"/>
      <c r="JR73" s="80"/>
      <c r="JS73" s="80"/>
      <c r="JT73" s="80"/>
      <c r="JU73" s="80"/>
      <c r="JV73" s="80"/>
      <c r="JW73" s="80"/>
    </row>
    <row r="74" ht="15.75" customHeight="1">
      <c r="A74" s="1"/>
      <c r="D74" s="6"/>
      <c r="E74" s="76"/>
      <c r="F74" s="76"/>
      <c r="G74" s="66"/>
      <c r="H74" s="6"/>
      <c r="I74" s="66"/>
      <c r="J74" s="6"/>
      <c r="K74" s="6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7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85"/>
      <c r="DI74" s="20"/>
      <c r="DJ74" s="20"/>
      <c r="DK74" s="20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9"/>
      <c r="GD74" s="79"/>
      <c r="GE74" s="79"/>
      <c r="GF74" s="79"/>
      <c r="GG74" s="79"/>
      <c r="GH74" s="79"/>
      <c r="GI74" s="79"/>
      <c r="GJ74" s="79"/>
      <c r="GK74" s="79"/>
      <c r="GL74" s="79"/>
      <c r="GM74" s="79"/>
      <c r="GN74" s="79"/>
      <c r="GO74" s="79"/>
      <c r="GP74" s="79"/>
      <c r="GQ74" s="79"/>
      <c r="GR74" s="79"/>
      <c r="GS74" s="79"/>
      <c r="GT74" s="79"/>
      <c r="GU74" s="79"/>
      <c r="GV74" s="79"/>
      <c r="GW74" s="79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80"/>
      <c r="HS74" s="80"/>
      <c r="HT74" s="80"/>
      <c r="HU74" s="80"/>
      <c r="HV74" s="80"/>
      <c r="HW74" s="80"/>
      <c r="HX74" s="80"/>
      <c r="HY74" s="80"/>
      <c r="HZ74" s="80"/>
      <c r="IA74" s="80"/>
      <c r="IB74" s="80"/>
      <c r="IC74" s="80"/>
      <c r="ID74" s="80"/>
      <c r="IE74" s="80"/>
      <c r="IF74" s="80"/>
      <c r="IG74" s="80"/>
      <c r="IH74" s="80"/>
      <c r="II74" s="80"/>
      <c r="IJ74" s="80"/>
      <c r="IK74" s="80"/>
      <c r="IL74" s="80"/>
      <c r="IM74" s="80"/>
      <c r="IN74" s="80"/>
      <c r="IO74" s="80"/>
      <c r="IP74" s="80"/>
      <c r="IQ74" s="80"/>
      <c r="IR74" s="80"/>
      <c r="IS74" s="80"/>
      <c r="IT74" s="80"/>
      <c r="IU74" s="80"/>
      <c r="IV74" s="80"/>
      <c r="IW74" s="80"/>
      <c r="IX74" s="80"/>
      <c r="IY74" s="80"/>
      <c r="IZ74" s="80"/>
      <c r="JA74" s="80"/>
      <c r="JB74" s="80"/>
      <c r="JC74" s="80"/>
      <c r="JD74" s="80"/>
      <c r="JE74" s="80"/>
      <c r="JF74" s="80"/>
      <c r="JG74" s="80"/>
      <c r="JH74" s="80"/>
      <c r="JI74" s="80"/>
      <c r="JJ74" s="80"/>
      <c r="JK74" s="80"/>
      <c r="JL74" s="80"/>
      <c r="JM74" s="80"/>
      <c r="JN74" s="80"/>
      <c r="JO74" s="80"/>
      <c r="JP74" s="80"/>
      <c r="JQ74" s="80"/>
      <c r="JR74" s="80"/>
      <c r="JS74" s="80"/>
      <c r="JT74" s="80"/>
      <c r="JU74" s="80"/>
      <c r="JV74" s="80"/>
      <c r="JW74" s="80"/>
    </row>
    <row r="75" ht="15.75" customHeight="1">
      <c r="A75" s="1"/>
      <c r="D75" s="6"/>
      <c r="E75" s="76"/>
      <c r="F75" s="76"/>
      <c r="G75" s="66"/>
      <c r="H75" s="6"/>
      <c r="I75" s="66"/>
      <c r="J75" s="6"/>
      <c r="K75" s="6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7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85"/>
      <c r="DI75" s="20"/>
      <c r="DJ75" s="20"/>
      <c r="DK75" s="20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9"/>
      <c r="GD75" s="79"/>
      <c r="GE75" s="79"/>
      <c r="GF75" s="79"/>
      <c r="GG75" s="79"/>
      <c r="GH75" s="79"/>
      <c r="GI75" s="79"/>
      <c r="GJ75" s="79"/>
      <c r="GK75" s="79"/>
      <c r="GL75" s="79"/>
      <c r="GM75" s="79"/>
      <c r="GN75" s="79"/>
      <c r="GO75" s="79"/>
      <c r="GP75" s="79"/>
      <c r="GQ75" s="79"/>
      <c r="GR75" s="79"/>
      <c r="GS75" s="79"/>
      <c r="GT75" s="79"/>
      <c r="GU75" s="79"/>
      <c r="GV75" s="79"/>
      <c r="GW75" s="79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80"/>
      <c r="HS75" s="80"/>
      <c r="HT75" s="80"/>
      <c r="HU75" s="80"/>
      <c r="HV75" s="80"/>
      <c r="HW75" s="80"/>
      <c r="HX75" s="80"/>
      <c r="HY75" s="80"/>
      <c r="HZ75" s="80"/>
      <c r="IA75" s="80"/>
      <c r="IB75" s="80"/>
      <c r="IC75" s="80"/>
      <c r="ID75" s="80"/>
      <c r="IE75" s="80"/>
      <c r="IF75" s="80"/>
      <c r="IG75" s="80"/>
      <c r="IH75" s="80"/>
      <c r="II75" s="80"/>
      <c r="IJ75" s="80"/>
      <c r="IK75" s="80"/>
      <c r="IL75" s="80"/>
      <c r="IM75" s="80"/>
      <c r="IN75" s="80"/>
      <c r="IO75" s="80"/>
      <c r="IP75" s="80"/>
      <c r="IQ75" s="80"/>
      <c r="IR75" s="80"/>
      <c r="IS75" s="80"/>
      <c r="IT75" s="80"/>
      <c r="IU75" s="80"/>
      <c r="IV75" s="80"/>
      <c r="IW75" s="80"/>
      <c r="IX75" s="80"/>
      <c r="IY75" s="80"/>
      <c r="IZ75" s="80"/>
      <c r="JA75" s="80"/>
      <c r="JB75" s="80"/>
      <c r="JC75" s="80"/>
      <c r="JD75" s="80"/>
      <c r="JE75" s="80"/>
      <c r="JF75" s="80"/>
      <c r="JG75" s="80"/>
      <c r="JH75" s="80"/>
      <c r="JI75" s="80"/>
      <c r="JJ75" s="80"/>
      <c r="JK75" s="80"/>
      <c r="JL75" s="80"/>
      <c r="JM75" s="80"/>
      <c r="JN75" s="80"/>
      <c r="JO75" s="80"/>
      <c r="JP75" s="80"/>
      <c r="JQ75" s="80"/>
      <c r="JR75" s="80"/>
      <c r="JS75" s="80"/>
      <c r="JT75" s="80"/>
      <c r="JU75" s="80"/>
      <c r="JV75" s="80"/>
      <c r="JW75" s="80"/>
    </row>
    <row r="76" ht="15.75" customHeight="1">
      <c r="A76" s="1"/>
      <c r="D76" s="6"/>
      <c r="E76" s="76"/>
      <c r="F76" s="76"/>
      <c r="G76" s="66"/>
      <c r="H76" s="6"/>
      <c r="I76" s="66"/>
      <c r="J76" s="6"/>
      <c r="K76" s="6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7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85"/>
      <c r="DI76" s="20"/>
      <c r="DJ76" s="20"/>
      <c r="DK76" s="20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9"/>
      <c r="GD76" s="79"/>
      <c r="GE76" s="79"/>
      <c r="GF76" s="79"/>
      <c r="GG76" s="79"/>
      <c r="GH76" s="79"/>
      <c r="GI76" s="79"/>
      <c r="GJ76" s="79"/>
      <c r="GK76" s="79"/>
      <c r="GL76" s="79"/>
      <c r="GM76" s="79"/>
      <c r="GN76" s="79"/>
      <c r="GO76" s="79"/>
      <c r="GP76" s="79"/>
      <c r="GQ76" s="79"/>
      <c r="GR76" s="79"/>
      <c r="GS76" s="79"/>
      <c r="GT76" s="79"/>
      <c r="GU76" s="79"/>
      <c r="GV76" s="79"/>
      <c r="GW76" s="79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80"/>
      <c r="HS76" s="80"/>
      <c r="HT76" s="80"/>
      <c r="HU76" s="80"/>
      <c r="HV76" s="80"/>
      <c r="HW76" s="80"/>
      <c r="HX76" s="80"/>
      <c r="HY76" s="80"/>
      <c r="HZ76" s="80"/>
      <c r="IA76" s="80"/>
      <c r="IB76" s="80"/>
      <c r="IC76" s="80"/>
      <c r="ID76" s="80"/>
      <c r="IE76" s="80"/>
      <c r="IF76" s="80"/>
      <c r="IG76" s="80"/>
      <c r="IH76" s="80"/>
      <c r="II76" s="80"/>
      <c r="IJ76" s="80"/>
      <c r="IK76" s="80"/>
      <c r="IL76" s="80"/>
      <c r="IM76" s="80"/>
      <c r="IN76" s="80"/>
      <c r="IO76" s="80"/>
      <c r="IP76" s="80"/>
      <c r="IQ76" s="80"/>
      <c r="IR76" s="80"/>
      <c r="IS76" s="80"/>
      <c r="IT76" s="80"/>
      <c r="IU76" s="80"/>
      <c r="IV76" s="80"/>
      <c r="IW76" s="80"/>
      <c r="IX76" s="80"/>
      <c r="IY76" s="80"/>
      <c r="IZ76" s="80"/>
      <c r="JA76" s="80"/>
      <c r="JB76" s="80"/>
      <c r="JC76" s="80"/>
      <c r="JD76" s="80"/>
      <c r="JE76" s="80"/>
      <c r="JF76" s="80"/>
      <c r="JG76" s="80"/>
      <c r="JH76" s="80"/>
      <c r="JI76" s="80"/>
      <c r="JJ76" s="80"/>
      <c r="JK76" s="80"/>
      <c r="JL76" s="80"/>
      <c r="JM76" s="80"/>
      <c r="JN76" s="80"/>
      <c r="JO76" s="80"/>
      <c r="JP76" s="80"/>
      <c r="JQ76" s="80"/>
      <c r="JR76" s="80"/>
      <c r="JS76" s="80"/>
      <c r="JT76" s="80"/>
      <c r="JU76" s="80"/>
      <c r="JV76" s="80"/>
      <c r="JW76" s="80"/>
    </row>
    <row r="77" ht="15.75" customHeight="1">
      <c r="A77" s="1"/>
      <c r="D77" s="6"/>
      <c r="E77" s="76"/>
      <c r="F77" s="76"/>
      <c r="G77" s="66"/>
      <c r="H77" s="6"/>
      <c r="I77" s="66"/>
      <c r="J77" s="6"/>
      <c r="K77" s="6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7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85"/>
      <c r="DI77" s="20"/>
      <c r="DJ77" s="20"/>
      <c r="DK77" s="20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9"/>
      <c r="GD77" s="79"/>
      <c r="GE77" s="79"/>
      <c r="GF77" s="79"/>
      <c r="GG77" s="79"/>
      <c r="GH77" s="79"/>
      <c r="GI77" s="79"/>
      <c r="GJ77" s="79"/>
      <c r="GK77" s="79"/>
      <c r="GL77" s="79"/>
      <c r="GM77" s="79"/>
      <c r="GN77" s="79"/>
      <c r="GO77" s="79"/>
      <c r="GP77" s="79"/>
      <c r="GQ77" s="79"/>
      <c r="GR77" s="79"/>
      <c r="GS77" s="79"/>
      <c r="GT77" s="79"/>
      <c r="GU77" s="79"/>
      <c r="GV77" s="79"/>
      <c r="GW77" s="79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80"/>
      <c r="HS77" s="80"/>
      <c r="HT77" s="80"/>
      <c r="HU77" s="80"/>
      <c r="HV77" s="80"/>
      <c r="HW77" s="80"/>
      <c r="HX77" s="80"/>
      <c r="HY77" s="80"/>
      <c r="HZ77" s="80"/>
      <c r="IA77" s="80"/>
      <c r="IB77" s="80"/>
      <c r="IC77" s="80"/>
      <c r="ID77" s="80"/>
      <c r="IE77" s="80"/>
      <c r="IF77" s="80"/>
      <c r="IG77" s="80"/>
      <c r="IH77" s="80"/>
      <c r="II77" s="80"/>
      <c r="IJ77" s="80"/>
      <c r="IK77" s="80"/>
      <c r="IL77" s="80"/>
      <c r="IM77" s="80"/>
      <c r="IN77" s="80"/>
      <c r="IO77" s="80"/>
      <c r="IP77" s="80"/>
      <c r="IQ77" s="80"/>
      <c r="IR77" s="80"/>
      <c r="IS77" s="80"/>
      <c r="IT77" s="80"/>
      <c r="IU77" s="80"/>
      <c r="IV77" s="80"/>
      <c r="IW77" s="80"/>
      <c r="IX77" s="80"/>
      <c r="IY77" s="80"/>
      <c r="IZ77" s="80"/>
      <c r="JA77" s="80"/>
      <c r="JB77" s="80"/>
      <c r="JC77" s="80"/>
      <c r="JD77" s="80"/>
      <c r="JE77" s="80"/>
      <c r="JF77" s="80"/>
      <c r="JG77" s="80"/>
      <c r="JH77" s="80"/>
      <c r="JI77" s="80"/>
      <c r="JJ77" s="80"/>
      <c r="JK77" s="80"/>
      <c r="JL77" s="80"/>
      <c r="JM77" s="80"/>
      <c r="JN77" s="80"/>
      <c r="JO77" s="80"/>
      <c r="JP77" s="80"/>
      <c r="JQ77" s="80"/>
      <c r="JR77" s="80"/>
      <c r="JS77" s="80"/>
      <c r="JT77" s="80"/>
      <c r="JU77" s="80"/>
      <c r="JV77" s="80"/>
      <c r="JW77" s="80"/>
    </row>
    <row r="78" ht="15.75" customHeight="1">
      <c r="A78" s="1"/>
      <c r="D78" s="6"/>
      <c r="E78" s="76"/>
      <c r="F78" s="76"/>
      <c r="G78" s="66"/>
      <c r="H78" s="6"/>
      <c r="I78" s="66"/>
      <c r="J78" s="6"/>
      <c r="K78" s="6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7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85"/>
      <c r="DI78" s="20"/>
      <c r="DJ78" s="20"/>
      <c r="DK78" s="20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9"/>
      <c r="GD78" s="79"/>
      <c r="GE78" s="79"/>
      <c r="GF78" s="79"/>
      <c r="GG78" s="79"/>
      <c r="GH78" s="79"/>
      <c r="GI78" s="79"/>
      <c r="GJ78" s="79"/>
      <c r="GK78" s="79"/>
      <c r="GL78" s="79"/>
      <c r="GM78" s="79"/>
      <c r="GN78" s="79"/>
      <c r="GO78" s="79"/>
      <c r="GP78" s="79"/>
      <c r="GQ78" s="79"/>
      <c r="GR78" s="79"/>
      <c r="GS78" s="79"/>
      <c r="GT78" s="79"/>
      <c r="GU78" s="79"/>
      <c r="GV78" s="79"/>
      <c r="GW78" s="79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80"/>
      <c r="HS78" s="80"/>
      <c r="HT78" s="80"/>
      <c r="HU78" s="80"/>
      <c r="HV78" s="80"/>
      <c r="HW78" s="80"/>
      <c r="HX78" s="80"/>
      <c r="HY78" s="80"/>
      <c r="HZ78" s="80"/>
      <c r="IA78" s="80"/>
      <c r="IB78" s="80"/>
      <c r="IC78" s="80"/>
      <c r="ID78" s="80"/>
      <c r="IE78" s="80"/>
      <c r="IF78" s="80"/>
      <c r="IG78" s="80"/>
      <c r="IH78" s="80"/>
      <c r="II78" s="80"/>
      <c r="IJ78" s="80"/>
      <c r="IK78" s="80"/>
      <c r="IL78" s="80"/>
      <c r="IM78" s="80"/>
      <c r="IN78" s="80"/>
      <c r="IO78" s="80"/>
      <c r="IP78" s="80"/>
      <c r="IQ78" s="80"/>
      <c r="IR78" s="80"/>
      <c r="IS78" s="80"/>
      <c r="IT78" s="80"/>
      <c r="IU78" s="80"/>
      <c r="IV78" s="80"/>
      <c r="IW78" s="80"/>
      <c r="IX78" s="80"/>
      <c r="IY78" s="80"/>
      <c r="IZ78" s="80"/>
      <c r="JA78" s="80"/>
      <c r="JB78" s="80"/>
      <c r="JC78" s="80"/>
      <c r="JD78" s="80"/>
      <c r="JE78" s="80"/>
      <c r="JF78" s="80"/>
      <c r="JG78" s="80"/>
      <c r="JH78" s="80"/>
      <c r="JI78" s="80"/>
      <c r="JJ78" s="80"/>
      <c r="JK78" s="80"/>
      <c r="JL78" s="80"/>
      <c r="JM78" s="80"/>
      <c r="JN78" s="80"/>
      <c r="JO78" s="80"/>
      <c r="JP78" s="80"/>
      <c r="JQ78" s="80"/>
      <c r="JR78" s="80"/>
      <c r="JS78" s="80"/>
      <c r="JT78" s="80"/>
      <c r="JU78" s="80"/>
      <c r="JV78" s="80"/>
      <c r="JW78" s="80"/>
    </row>
    <row r="79" ht="15.75" customHeight="1">
      <c r="A79" s="1"/>
      <c r="D79" s="6"/>
      <c r="E79" s="76"/>
      <c r="F79" s="76"/>
      <c r="G79" s="66"/>
      <c r="H79" s="6"/>
      <c r="I79" s="66"/>
      <c r="J79" s="6"/>
      <c r="K79" s="6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7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85"/>
      <c r="DI79" s="20"/>
      <c r="DJ79" s="20"/>
      <c r="DK79" s="20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9"/>
      <c r="GD79" s="79"/>
      <c r="GE79" s="79"/>
      <c r="GF79" s="79"/>
      <c r="GG79" s="79"/>
      <c r="GH79" s="79"/>
      <c r="GI79" s="79"/>
      <c r="GJ79" s="79"/>
      <c r="GK79" s="79"/>
      <c r="GL79" s="79"/>
      <c r="GM79" s="79"/>
      <c r="GN79" s="79"/>
      <c r="GO79" s="79"/>
      <c r="GP79" s="79"/>
      <c r="GQ79" s="79"/>
      <c r="GR79" s="79"/>
      <c r="GS79" s="79"/>
      <c r="GT79" s="79"/>
      <c r="GU79" s="79"/>
      <c r="GV79" s="79"/>
      <c r="GW79" s="79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80"/>
      <c r="HS79" s="80"/>
      <c r="HT79" s="80"/>
      <c r="HU79" s="80"/>
      <c r="HV79" s="80"/>
      <c r="HW79" s="80"/>
      <c r="HX79" s="80"/>
      <c r="HY79" s="80"/>
      <c r="HZ79" s="80"/>
      <c r="IA79" s="80"/>
      <c r="IB79" s="80"/>
      <c r="IC79" s="80"/>
      <c r="ID79" s="80"/>
      <c r="IE79" s="80"/>
      <c r="IF79" s="80"/>
      <c r="IG79" s="80"/>
      <c r="IH79" s="80"/>
      <c r="II79" s="80"/>
      <c r="IJ79" s="80"/>
      <c r="IK79" s="80"/>
      <c r="IL79" s="80"/>
      <c r="IM79" s="80"/>
      <c r="IN79" s="80"/>
      <c r="IO79" s="80"/>
      <c r="IP79" s="80"/>
      <c r="IQ79" s="80"/>
      <c r="IR79" s="80"/>
      <c r="IS79" s="80"/>
      <c r="IT79" s="80"/>
      <c r="IU79" s="80"/>
      <c r="IV79" s="80"/>
      <c r="IW79" s="80"/>
      <c r="IX79" s="80"/>
      <c r="IY79" s="80"/>
      <c r="IZ79" s="80"/>
      <c r="JA79" s="80"/>
      <c r="JB79" s="80"/>
      <c r="JC79" s="80"/>
      <c r="JD79" s="80"/>
      <c r="JE79" s="80"/>
      <c r="JF79" s="80"/>
      <c r="JG79" s="80"/>
      <c r="JH79" s="80"/>
      <c r="JI79" s="80"/>
      <c r="JJ79" s="80"/>
      <c r="JK79" s="80"/>
      <c r="JL79" s="80"/>
      <c r="JM79" s="80"/>
      <c r="JN79" s="80"/>
      <c r="JO79" s="80"/>
      <c r="JP79" s="80"/>
      <c r="JQ79" s="80"/>
      <c r="JR79" s="80"/>
      <c r="JS79" s="80"/>
      <c r="JT79" s="80"/>
      <c r="JU79" s="80"/>
      <c r="JV79" s="80"/>
      <c r="JW79" s="80"/>
    </row>
    <row r="80" ht="15.75" customHeight="1">
      <c r="A80" s="1"/>
      <c r="D80" s="6"/>
      <c r="E80" s="76"/>
      <c r="F80" s="76"/>
      <c r="G80" s="66"/>
      <c r="H80" s="6"/>
      <c r="I80" s="66"/>
      <c r="J80" s="6"/>
      <c r="K80" s="6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7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85"/>
      <c r="DI80" s="20"/>
      <c r="DJ80" s="20"/>
      <c r="DK80" s="20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9"/>
      <c r="GD80" s="79"/>
      <c r="GE80" s="79"/>
      <c r="GF80" s="79"/>
      <c r="GG80" s="79"/>
      <c r="GH80" s="79"/>
      <c r="GI80" s="79"/>
      <c r="GJ80" s="79"/>
      <c r="GK80" s="79"/>
      <c r="GL80" s="79"/>
      <c r="GM80" s="79"/>
      <c r="GN80" s="79"/>
      <c r="GO80" s="79"/>
      <c r="GP80" s="79"/>
      <c r="GQ80" s="79"/>
      <c r="GR80" s="79"/>
      <c r="GS80" s="79"/>
      <c r="GT80" s="79"/>
      <c r="GU80" s="79"/>
      <c r="GV80" s="79"/>
      <c r="GW80" s="79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80"/>
      <c r="HS80" s="80"/>
      <c r="HT80" s="80"/>
      <c r="HU80" s="80"/>
      <c r="HV80" s="80"/>
      <c r="HW80" s="80"/>
      <c r="HX80" s="80"/>
      <c r="HY80" s="80"/>
      <c r="HZ80" s="80"/>
      <c r="IA80" s="80"/>
      <c r="IB80" s="80"/>
      <c r="IC80" s="80"/>
      <c r="ID80" s="80"/>
      <c r="IE80" s="80"/>
      <c r="IF80" s="80"/>
      <c r="IG80" s="80"/>
      <c r="IH80" s="80"/>
      <c r="II80" s="80"/>
      <c r="IJ80" s="80"/>
      <c r="IK80" s="80"/>
      <c r="IL80" s="80"/>
      <c r="IM80" s="80"/>
      <c r="IN80" s="80"/>
      <c r="IO80" s="80"/>
      <c r="IP80" s="80"/>
      <c r="IQ80" s="80"/>
      <c r="IR80" s="80"/>
      <c r="IS80" s="80"/>
      <c r="IT80" s="80"/>
      <c r="IU80" s="80"/>
      <c r="IV80" s="80"/>
      <c r="IW80" s="80"/>
      <c r="IX80" s="80"/>
      <c r="IY80" s="80"/>
      <c r="IZ80" s="80"/>
      <c r="JA80" s="80"/>
      <c r="JB80" s="80"/>
      <c r="JC80" s="80"/>
      <c r="JD80" s="80"/>
      <c r="JE80" s="80"/>
      <c r="JF80" s="80"/>
      <c r="JG80" s="80"/>
      <c r="JH80" s="80"/>
      <c r="JI80" s="80"/>
      <c r="JJ80" s="80"/>
      <c r="JK80" s="80"/>
      <c r="JL80" s="80"/>
      <c r="JM80" s="80"/>
      <c r="JN80" s="80"/>
      <c r="JO80" s="80"/>
      <c r="JP80" s="80"/>
      <c r="JQ80" s="80"/>
      <c r="JR80" s="80"/>
      <c r="JS80" s="80"/>
      <c r="JT80" s="80"/>
      <c r="JU80" s="80"/>
      <c r="JV80" s="80"/>
      <c r="JW80" s="80"/>
    </row>
  </sheetData>
  <customSheetViews>
    <customSheetView guid="{6F0452C7-95A0-401B-9DD4-DA993D8E8FD7}" filter="1" showAutoFilter="1">
      <autoFilter ref="$B$1:$JZ$585">
        <filterColumn colId="2">
          <filters>
            <filter val="ZAMBRANA GABRIEL"/>
            <filter val="APELLIDO Y NOMBRE"/>
            <filter val="RODRIGO TARCAYA"/>
            <filter val="MAMANI JUAN"/>
          </filters>
        </filterColumn>
      </autoFilter>
      <extLst>
        <ext uri="GoogleSheetsCustomDataVersion1">
          <go:sheetsCustomData xmlns:go="http://customooxmlschemas.google.com/" filterViewId="132748205"/>
        </ext>
      </extLst>
    </customSheetView>
    <customSheetView guid="{34FF685E-66AC-4353-AD73-2C5BF1E5E7D0}" filter="1" showAutoFilter="1">
      <autoFilter ref="$B$1:$JZ$585">
        <filterColumn colId="2">
          <filters>
            <filter val="ZAMBRANA GABRIEL"/>
            <filter val="APELLIDO Y NOMBRE"/>
            <filter val="RODRIGO TARCAYA"/>
            <filter val="MAMANI JUAN"/>
          </filters>
        </filterColumn>
      </autoFilter>
      <extLst>
        <ext uri="GoogleSheetsCustomDataVersion1">
          <go:sheetsCustomData xmlns:go="http://customooxmlschemas.google.com/" filterViewId="449633556"/>
        </ext>
      </extLst>
    </customSheetView>
  </customSheetViews>
  <conditionalFormatting sqref="L3:M3 HZ4 HZ6 IR5">
    <cfRule type="cellIs" dxfId="0" priority="1" operator="equal">
      <formula>1</formula>
    </cfRule>
  </conditionalFormatting>
  <conditionalFormatting sqref="L3:M3 HZ6 IR5">
    <cfRule type="cellIs" dxfId="1" priority="2" operator="equal">
      <formula>"D"</formula>
    </cfRule>
  </conditionalFormatting>
  <conditionalFormatting sqref="L3:M3 HZ6 IR5">
    <cfRule type="cellIs" dxfId="2" priority="3" operator="equal">
      <formula>"B"</formula>
    </cfRule>
  </conditionalFormatting>
  <conditionalFormatting sqref="L3:M3 HZ6 IR5">
    <cfRule type="cellIs" dxfId="3" priority="4" operator="equal">
      <formula>"S"</formula>
    </cfRule>
  </conditionalFormatting>
  <conditionalFormatting sqref="L13:IB13">
    <cfRule type="cellIs" dxfId="4" priority="5" operator="equal">
      <formula>"V"</formula>
    </cfRule>
  </conditionalFormatting>
  <conditionalFormatting sqref="S3 ID5 ID6:IE6 ID7:ID8 IG4 IK5:IK7 IN4:IN5 IR7 IU7:IV7 IY5:JC5 JB4 JF5:JF7 JI4:JI5 JW4 JW6">
    <cfRule type="cellIs" dxfId="0" priority="6" operator="equal">
      <formula>1</formula>
    </cfRule>
  </conditionalFormatting>
  <conditionalFormatting sqref="Z3">
    <cfRule type="cellIs" dxfId="1" priority="7" operator="equal">
      <formula>"D"</formula>
    </cfRule>
  </conditionalFormatting>
  <conditionalFormatting sqref="Z3">
    <cfRule type="cellIs" dxfId="0" priority="8" operator="equal">
      <formula>1</formula>
    </cfRule>
  </conditionalFormatting>
  <conditionalFormatting sqref="Z3">
    <cfRule type="cellIs" dxfId="2" priority="9" operator="equal">
      <formula>"B"</formula>
    </cfRule>
  </conditionalFormatting>
  <conditionalFormatting sqref="Z3">
    <cfRule type="cellIs" dxfId="3" priority="10" operator="equal">
      <formula>"S"</formula>
    </cfRule>
  </conditionalFormatting>
  <conditionalFormatting sqref="AA3">
    <cfRule type="cellIs" dxfId="4" priority="11" operator="equal">
      <formula>"V"</formula>
    </cfRule>
  </conditionalFormatting>
  <conditionalFormatting sqref="AG3">
    <cfRule type="cellIs" dxfId="4" priority="12" operator="equal">
      <formula>"V"</formula>
    </cfRule>
  </conditionalFormatting>
  <conditionalFormatting sqref="AG3:AH3">
    <cfRule type="cellIs" dxfId="1" priority="13" operator="equal">
      <formula>"D"</formula>
    </cfRule>
  </conditionalFormatting>
  <conditionalFormatting sqref="AG3:AH3">
    <cfRule type="cellIs" dxfId="0" priority="14" operator="equal">
      <formula>1</formula>
    </cfRule>
  </conditionalFormatting>
  <conditionalFormatting sqref="AG3:AH3">
    <cfRule type="cellIs" dxfId="2" priority="15" operator="equal">
      <formula>"B"</formula>
    </cfRule>
  </conditionalFormatting>
  <conditionalFormatting sqref="AG3:AH3">
    <cfRule type="cellIs" dxfId="3" priority="16" operator="equal">
      <formula>"S"</formula>
    </cfRule>
  </conditionalFormatting>
  <conditionalFormatting sqref="AN3">
    <cfRule type="cellIs" dxfId="0" priority="17" operator="equal">
      <formula>1</formula>
    </cfRule>
  </conditionalFormatting>
  <conditionalFormatting sqref="AU3">
    <cfRule type="cellIs" dxfId="1" priority="18" operator="equal">
      <formula>"D"</formula>
    </cfRule>
  </conditionalFormatting>
  <conditionalFormatting sqref="AU3">
    <cfRule type="cellIs" dxfId="0" priority="19" operator="equal">
      <formula>1</formula>
    </cfRule>
  </conditionalFormatting>
  <conditionalFormatting sqref="AU3">
    <cfRule type="cellIs" dxfId="2" priority="20" operator="equal">
      <formula>"B"</formula>
    </cfRule>
  </conditionalFormatting>
  <conditionalFormatting sqref="AU3">
    <cfRule type="cellIs" dxfId="3" priority="21" operator="equal">
      <formula>"S"</formula>
    </cfRule>
  </conditionalFormatting>
  <conditionalFormatting sqref="AV3">
    <cfRule type="cellIs" dxfId="4" priority="22" operator="equal">
      <formula>"V"</formula>
    </cfRule>
  </conditionalFormatting>
  <conditionalFormatting sqref="BB3">
    <cfRule type="cellIs" dxfId="4" priority="23" operator="equal">
      <formula>"V"</formula>
    </cfRule>
  </conditionalFormatting>
  <conditionalFormatting sqref="BB3:BC3">
    <cfRule type="cellIs" dxfId="1" priority="24" operator="equal">
      <formula>"D"</formula>
    </cfRule>
  </conditionalFormatting>
  <conditionalFormatting sqref="BB3:BC3">
    <cfRule type="cellIs" dxfId="0" priority="25" operator="equal">
      <formula>1</formula>
    </cfRule>
  </conditionalFormatting>
  <conditionalFormatting sqref="BB3:BC3">
    <cfRule type="cellIs" dxfId="2" priority="26" operator="equal">
      <formula>"B"</formula>
    </cfRule>
  </conditionalFormatting>
  <conditionalFormatting sqref="BB3:BC3">
    <cfRule type="cellIs" dxfId="3" priority="27" operator="equal">
      <formula>"S"</formula>
    </cfRule>
  </conditionalFormatting>
  <conditionalFormatting sqref="BI3">
    <cfRule type="cellIs" dxfId="0" priority="28" operator="equal">
      <formula>1</formula>
    </cfRule>
  </conditionalFormatting>
  <conditionalFormatting sqref="BP3">
    <cfRule type="cellIs" dxfId="1" priority="29" operator="equal">
      <formula>"D"</formula>
    </cfRule>
  </conditionalFormatting>
  <conditionalFormatting sqref="BP3">
    <cfRule type="cellIs" dxfId="0" priority="30" operator="equal">
      <formula>1</formula>
    </cfRule>
  </conditionalFormatting>
  <conditionalFormatting sqref="BP3">
    <cfRule type="cellIs" dxfId="2" priority="31" operator="equal">
      <formula>"B"</formula>
    </cfRule>
  </conditionalFormatting>
  <conditionalFormatting sqref="BP3">
    <cfRule type="cellIs" dxfId="3" priority="32" operator="equal">
      <formula>"S"</formula>
    </cfRule>
  </conditionalFormatting>
  <conditionalFormatting sqref="BQ3">
    <cfRule type="cellIs" dxfId="4" priority="33" operator="equal">
      <formula>"V"</formula>
    </cfRule>
  </conditionalFormatting>
  <conditionalFormatting sqref="BW3">
    <cfRule type="cellIs" dxfId="4" priority="34" operator="equal">
      <formula>"V"</formula>
    </cfRule>
  </conditionalFormatting>
  <conditionalFormatting sqref="BW3:BX3">
    <cfRule type="cellIs" dxfId="1" priority="35" operator="equal">
      <formula>"D"</formula>
    </cfRule>
  </conditionalFormatting>
  <conditionalFormatting sqref="BW3:BX3">
    <cfRule type="cellIs" dxfId="0" priority="36" operator="equal">
      <formula>1</formula>
    </cfRule>
  </conditionalFormatting>
  <conditionalFormatting sqref="BW3:BX3">
    <cfRule type="cellIs" dxfId="2" priority="37" operator="equal">
      <formula>"B"</formula>
    </cfRule>
  </conditionalFormatting>
  <conditionalFormatting sqref="BW3:BX3">
    <cfRule type="cellIs" dxfId="3" priority="38" operator="equal">
      <formula>"S"</formula>
    </cfRule>
  </conditionalFormatting>
  <conditionalFormatting sqref="CK3">
    <cfRule type="cellIs" dxfId="1" priority="39" operator="equal">
      <formula>"D"</formula>
    </cfRule>
  </conditionalFormatting>
  <conditionalFormatting sqref="CK3">
    <cfRule type="cellIs" dxfId="0" priority="40" operator="equal">
      <formula>1</formula>
    </cfRule>
  </conditionalFormatting>
  <conditionalFormatting sqref="CK3">
    <cfRule type="cellIs" dxfId="2" priority="41" operator="equal">
      <formula>"B"</formula>
    </cfRule>
  </conditionalFormatting>
  <conditionalFormatting sqref="CK3">
    <cfRule type="cellIs" dxfId="3" priority="42" operator="equal">
      <formula>"S"</formula>
    </cfRule>
  </conditionalFormatting>
  <conditionalFormatting sqref="CL3">
    <cfRule type="cellIs" dxfId="4" priority="43" operator="equal">
      <formula>"V"</formula>
    </cfRule>
  </conditionalFormatting>
  <conditionalFormatting sqref="CR3">
    <cfRule type="cellIs" dxfId="4" priority="44" operator="equal">
      <formula>"V"</formula>
    </cfRule>
  </conditionalFormatting>
  <conditionalFormatting sqref="CR3:CS3">
    <cfRule type="cellIs" dxfId="1" priority="45" operator="equal">
      <formula>"D"</formula>
    </cfRule>
  </conditionalFormatting>
  <conditionalFormatting sqref="CR3:CS3">
    <cfRule type="cellIs" dxfId="0" priority="46" operator="equal">
      <formula>1</formula>
    </cfRule>
  </conditionalFormatting>
  <conditionalFormatting sqref="CR3:CS3">
    <cfRule type="cellIs" dxfId="2" priority="47" operator="equal">
      <formula>"B"</formula>
    </cfRule>
  </conditionalFormatting>
  <conditionalFormatting sqref="CR3:CS3">
    <cfRule type="cellIs" dxfId="3" priority="48" operator="equal">
      <formula>"S"</formula>
    </cfRule>
  </conditionalFormatting>
  <conditionalFormatting sqref="CY3">
    <cfRule type="cellIs" dxfId="0" priority="49" operator="equal">
      <formula>1</formula>
    </cfRule>
  </conditionalFormatting>
  <conditionalFormatting sqref="DF3">
    <cfRule type="cellIs" dxfId="1" priority="50" operator="equal">
      <formula>"D"</formula>
    </cfRule>
  </conditionalFormatting>
  <conditionalFormatting sqref="DF3">
    <cfRule type="cellIs" dxfId="0" priority="51" operator="equal">
      <formula>1</formula>
    </cfRule>
  </conditionalFormatting>
  <conditionalFormatting sqref="DF3">
    <cfRule type="cellIs" dxfId="2" priority="52" operator="equal">
      <formula>"B"</formula>
    </cfRule>
  </conditionalFormatting>
  <conditionalFormatting sqref="DF3">
    <cfRule type="cellIs" dxfId="3" priority="53" operator="equal">
      <formula>"S"</formula>
    </cfRule>
  </conditionalFormatting>
  <conditionalFormatting sqref="DG3">
    <cfRule type="cellIs" dxfId="4" priority="54" operator="equal">
      <formula>"V"</formula>
    </cfRule>
  </conditionalFormatting>
  <conditionalFormatting sqref="DM3">
    <cfRule type="cellIs" dxfId="4" priority="55" operator="equal">
      <formula>"V"</formula>
    </cfRule>
  </conditionalFormatting>
  <conditionalFormatting sqref="DM3:DN3">
    <cfRule type="cellIs" dxfId="1" priority="56" operator="equal">
      <formula>"D"</formula>
    </cfRule>
  </conditionalFormatting>
  <conditionalFormatting sqref="DM3:DN3">
    <cfRule type="cellIs" dxfId="0" priority="57" operator="equal">
      <formula>1</formula>
    </cfRule>
  </conditionalFormatting>
  <conditionalFormatting sqref="DM3:DN3">
    <cfRule type="cellIs" dxfId="2" priority="58" operator="equal">
      <formula>"B"</formula>
    </cfRule>
  </conditionalFormatting>
  <conditionalFormatting sqref="DM3:DN3">
    <cfRule type="cellIs" dxfId="3" priority="59" operator="equal">
      <formula>"S"</formula>
    </cfRule>
  </conditionalFormatting>
  <conditionalFormatting sqref="DT3">
    <cfRule type="cellIs" dxfId="0" priority="60" operator="equal">
      <formula>1</formula>
    </cfRule>
  </conditionalFormatting>
  <conditionalFormatting sqref="EA3">
    <cfRule type="cellIs" dxfId="1" priority="61" operator="equal">
      <formula>"D"</formula>
    </cfRule>
  </conditionalFormatting>
  <conditionalFormatting sqref="EA3">
    <cfRule type="cellIs" dxfId="0" priority="62" operator="equal">
      <formula>1</formula>
    </cfRule>
  </conditionalFormatting>
  <conditionalFormatting sqref="EA3">
    <cfRule type="cellIs" dxfId="2" priority="63" operator="equal">
      <formula>"B"</formula>
    </cfRule>
  </conditionalFormatting>
  <conditionalFormatting sqref="EA3">
    <cfRule type="cellIs" dxfId="3" priority="64" operator="equal">
      <formula>"S"</formula>
    </cfRule>
  </conditionalFormatting>
  <conditionalFormatting sqref="EB3">
    <cfRule type="cellIs" dxfId="4" priority="65" operator="equal">
      <formula>"V"</formula>
    </cfRule>
  </conditionalFormatting>
  <conditionalFormatting sqref="L27:CC28 CE27:ED28 EE27:HL27">
    <cfRule type="cellIs" dxfId="5" priority="66" operator="lessThan">
      <formula>0.7</formula>
    </cfRule>
  </conditionalFormatting>
  <conditionalFormatting sqref="EH3">
    <cfRule type="cellIs" dxfId="4" priority="67" operator="equal">
      <formula>"V"</formula>
    </cfRule>
  </conditionalFormatting>
  <conditionalFormatting sqref="EH3:EI3">
    <cfRule type="cellIs" dxfId="1" priority="68" operator="equal">
      <formula>"D"</formula>
    </cfRule>
  </conditionalFormatting>
  <conditionalFormatting sqref="EH3:EI3">
    <cfRule type="cellIs" dxfId="3" priority="69" operator="equal">
      <formula>"S"</formula>
    </cfRule>
  </conditionalFormatting>
  <conditionalFormatting sqref="EH17:EJ17">
    <cfRule type="cellIs" dxfId="0" priority="70" operator="equal">
      <formula>1</formula>
    </cfRule>
  </conditionalFormatting>
  <conditionalFormatting sqref="EH17:EJ17">
    <cfRule type="cellIs" dxfId="2" priority="71" operator="equal">
      <formula>"B"</formula>
    </cfRule>
  </conditionalFormatting>
  <conditionalFormatting sqref="EH3:EK3">
    <cfRule type="cellIs" dxfId="0" priority="72" operator="equal">
      <formula>1</formula>
    </cfRule>
  </conditionalFormatting>
  <conditionalFormatting sqref="EH3:EK3">
    <cfRule type="cellIs" dxfId="2" priority="73" operator="equal">
      <formula>"B"</formula>
    </cfRule>
  </conditionalFormatting>
  <conditionalFormatting sqref="EO3">
    <cfRule type="cellIs" dxfId="0" priority="74" operator="equal">
      <formula>1</formula>
    </cfRule>
  </conditionalFormatting>
  <conditionalFormatting sqref="EP3:GE3 IH6:II6 IL5">
    <cfRule type="cellIs" dxfId="3" priority="75" operator="equal">
      <formula>"S"</formula>
    </cfRule>
  </conditionalFormatting>
  <conditionalFormatting sqref="EV3">
    <cfRule type="cellIs" dxfId="1" priority="76" operator="equal">
      <formula>"D"</formula>
    </cfRule>
  </conditionalFormatting>
  <conditionalFormatting sqref="EV3:FD3">
    <cfRule type="cellIs" dxfId="0" priority="77" operator="equal">
      <formula>1</formula>
    </cfRule>
  </conditionalFormatting>
  <conditionalFormatting sqref="EV3:FD3">
    <cfRule type="cellIs" dxfId="2" priority="78" operator="equal">
      <formula>"B"</formula>
    </cfRule>
  </conditionalFormatting>
  <conditionalFormatting sqref="EW3">
    <cfRule type="cellIs" dxfId="4" priority="79" operator="equal">
      <formula>"V"</formula>
    </cfRule>
  </conditionalFormatting>
  <conditionalFormatting sqref="H3:H27 I3:EX23 BO18:BO24 CD18:CD80 EY3:FV27">
    <cfRule type="cellIs" dxfId="1" priority="80" operator="equal">
      <formula>"D"</formula>
    </cfRule>
  </conditionalFormatting>
  <conditionalFormatting sqref="H3:H27 I3:CC23 CD3:CD80 CE3:EX23 EY3:FV27 FW3:HL23 HM3:JW17">
    <cfRule type="cellIs" dxfId="2" priority="81" operator="equal">
      <formula>"B"</formula>
    </cfRule>
  </conditionalFormatting>
  <conditionalFormatting sqref="L3:CC23 CD3:CD80 CE3:EX23 EY3:FV27 HM3:JW17 IE11:IL19">
    <cfRule type="cellIs" dxfId="4" priority="82" operator="equal">
      <formula>"V"</formula>
    </cfRule>
  </conditionalFormatting>
  <conditionalFormatting sqref="L3:CC24 CD3:CD80 CE3:CM24 CN3:EX25 EY3:FV27 FW3:HL25 HM3:JW17">
    <cfRule type="cellIs" dxfId="4" priority="83" operator="equal">
      <formula>"CM"</formula>
    </cfRule>
  </conditionalFormatting>
  <conditionalFormatting sqref="EZ7:FB7">
    <cfRule type="cellIs" dxfId="1" priority="84" operator="equal">
      <formula>"D"</formula>
    </cfRule>
  </conditionalFormatting>
  <conditionalFormatting sqref="EZ7:FB7">
    <cfRule type="cellIs" dxfId="4" priority="85" operator="equal">
      <formula>"V"</formula>
    </cfRule>
  </conditionalFormatting>
  <conditionalFormatting sqref="FC3">
    <cfRule type="cellIs" dxfId="4" priority="86" operator="equal">
      <formula>"V"</formula>
    </cfRule>
  </conditionalFormatting>
  <conditionalFormatting sqref="FC3:FD3">
    <cfRule type="cellIs" dxfId="1" priority="87" operator="equal">
      <formula>"D"</formula>
    </cfRule>
  </conditionalFormatting>
  <conditionalFormatting sqref="FD24:FE27 FH24:FQ27 FT24:FV27">
    <cfRule type="cellIs" dxfId="2" priority="88" operator="equal">
      <formula>"B"</formula>
    </cfRule>
  </conditionalFormatting>
  <conditionalFormatting sqref="FD24:FE27 FH24:FQ27 FT24:FV27">
    <cfRule type="cellIs" dxfId="0" priority="89" operator="equal">
      <formula>1</formula>
    </cfRule>
  </conditionalFormatting>
  <conditionalFormatting sqref="FH24:FH27 FT24:FT27">
    <cfRule type="cellIs" dxfId="1" priority="90" operator="equal">
      <formula>"D"</formula>
    </cfRule>
  </conditionalFormatting>
  <conditionalFormatting sqref="FH24:FH27 FT24:FT27">
    <cfRule type="cellIs" dxfId="4" priority="91" operator="equal">
      <formula>"V"</formula>
    </cfRule>
  </conditionalFormatting>
  <conditionalFormatting sqref="FH24:FJ27 FT24:FV27">
    <cfRule type="cellIs" dxfId="3" priority="92" operator="equal">
      <formula>"S"</formula>
    </cfRule>
  </conditionalFormatting>
  <conditionalFormatting sqref="FJ3">
    <cfRule type="cellIs" dxfId="0" priority="93" operator="equal">
      <formula>1</formula>
    </cfRule>
  </conditionalFormatting>
  <conditionalFormatting sqref="FQ3">
    <cfRule type="cellIs" dxfId="1" priority="94" operator="equal">
      <formula>"D"</formula>
    </cfRule>
  </conditionalFormatting>
  <conditionalFormatting sqref="FQ3:FZ3">
    <cfRule type="cellIs" dxfId="0" priority="95" operator="equal">
      <formula>1</formula>
    </cfRule>
  </conditionalFormatting>
  <conditionalFormatting sqref="FQ3:FZ3">
    <cfRule type="cellIs" dxfId="2" priority="96" operator="equal">
      <formula>"B"</formula>
    </cfRule>
  </conditionalFormatting>
  <conditionalFormatting sqref="FR3">
    <cfRule type="cellIs" dxfId="4" priority="97" operator="equal">
      <formula>"V"</formula>
    </cfRule>
  </conditionalFormatting>
  <conditionalFormatting sqref="FW3:HL23">
    <cfRule type="cellIs" dxfId="1" priority="98" operator="equal">
      <formula>"D"</formula>
    </cfRule>
  </conditionalFormatting>
  <conditionalFormatting sqref="FW3:HL23">
    <cfRule type="cellIs" dxfId="4" priority="99" operator="equal">
      <formula>"V"</formula>
    </cfRule>
  </conditionalFormatting>
  <conditionalFormatting sqref="FX3:FY3">
    <cfRule type="cellIs" dxfId="4" priority="100" operator="equal">
      <formula>"V"</formula>
    </cfRule>
  </conditionalFormatting>
  <conditionalFormatting sqref="FX3:FZ3">
    <cfRule type="cellIs" dxfId="1" priority="101" operator="equal">
      <formula>"D"</formula>
    </cfRule>
  </conditionalFormatting>
  <conditionalFormatting sqref="GC17:GD17">
    <cfRule type="cellIs" dxfId="3" priority="102" operator="equal">
      <formula>"S"</formula>
    </cfRule>
  </conditionalFormatting>
  <conditionalFormatting sqref="EZ7 FB7 GD3">
    <cfRule type="cellIs" dxfId="2" priority="103" operator="equal">
      <formula>"B"</formula>
    </cfRule>
  </conditionalFormatting>
  <conditionalFormatting sqref="GE3:GF3">
    <cfRule type="cellIs" dxfId="0" priority="104" operator="equal">
      <formula>1</formula>
    </cfRule>
  </conditionalFormatting>
  <conditionalFormatting sqref="GL3:GM3">
    <cfRule type="cellIs" dxfId="1" priority="105" operator="equal">
      <formula>"D"</formula>
    </cfRule>
  </conditionalFormatting>
  <conditionalFormatting sqref="GL3:GM3">
    <cfRule type="cellIs" dxfId="0" priority="106" operator="equal">
      <formula>1</formula>
    </cfRule>
  </conditionalFormatting>
  <conditionalFormatting sqref="GL3:GM3">
    <cfRule type="cellIs" dxfId="2" priority="107" operator="equal">
      <formula>"B"</formula>
    </cfRule>
  </conditionalFormatting>
  <conditionalFormatting sqref="GL3:GM3">
    <cfRule type="cellIs" dxfId="3" priority="108" operator="equal">
      <formula>"S"</formula>
    </cfRule>
  </conditionalFormatting>
  <conditionalFormatting sqref="GL7:GS7 GO7:GV17">
    <cfRule type="cellIs" dxfId="4" priority="109" operator="equal">
      <formula>"V"</formula>
    </cfRule>
  </conditionalFormatting>
  <conditionalFormatting sqref="GM3:GN3">
    <cfRule type="cellIs" dxfId="4" priority="110" operator="equal">
      <formula>"V"</formula>
    </cfRule>
  </conditionalFormatting>
  <conditionalFormatting sqref="GN5:GN6">
    <cfRule type="cellIs" dxfId="4" priority="111" operator="equal">
      <formula>"V"</formula>
    </cfRule>
  </conditionalFormatting>
  <conditionalFormatting sqref="GN8:GN10">
    <cfRule type="cellIs" dxfId="4" priority="112" operator="equal">
      <formula>"V"</formula>
    </cfRule>
  </conditionalFormatting>
  <conditionalFormatting sqref="GN15:GO16">
    <cfRule type="cellIs" dxfId="4" priority="113" operator="equal">
      <formula>"V"</formula>
    </cfRule>
  </conditionalFormatting>
  <conditionalFormatting sqref="GU3">
    <cfRule type="cellIs" dxfId="4" priority="114" operator="equal">
      <formula>"V"</formula>
    </cfRule>
  </conditionalFormatting>
  <conditionalFormatting sqref="GU3:GV3">
    <cfRule type="cellIs" dxfId="1" priority="115" operator="equal">
      <formula>"D"</formula>
    </cfRule>
  </conditionalFormatting>
  <conditionalFormatting sqref="GU3:GV3">
    <cfRule type="cellIs" dxfId="0" priority="116" operator="equal">
      <formula>1</formula>
    </cfRule>
  </conditionalFormatting>
  <conditionalFormatting sqref="GU3:GV3">
    <cfRule type="cellIs" dxfId="2" priority="117" operator="equal">
      <formula>"B"</formula>
    </cfRule>
  </conditionalFormatting>
  <conditionalFormatting sqref="GU3:GV3">
    <cfRule type="cellIs" dxfId="3" priority="118" operator="equal">
      <formula>"S"</formula>
    </cfRule>
  </conditionalFormatting>
  <conditionalFormatting sqref="GU15:JW16">
    <cfRule type="cellIs" dxfId="4" priority="119" operator="equal">
      <formula>"V"</formula>
    </cfRule>
  </conditionalFormatting>
  <conditionalFormatting sqref="GV5:GV7">
    <cfRule type="cellIs" dxfId="4" priority="120" operator="equal">
      <formula>"V"</formula>
    </cfRule>
  </conditionalFormatting>
  <conditionalFormatting sqref="GV10 HQ10">
    <cfRule type="cellIs" dxfId="4" priority="121" operator="equal">
      <formula>"V"</formula>
    </cfRule>
  </conditionalFormatting>
  <conditionalFormatting sqref="GX4">
    <cfRule type="cellIs" dxfId="4" priority="122" operator="equal">
      <formula>"V"</formula>
    </cfRule>
  </conditionalFormatting>
  <conditionalFormatting sqref="HB3 HW3 IR3 JM3">
    <cfRule type="cellIs" dxfId="0" priority="123" operator="equal">
      <formula>1</formula>
    </cfRule>
  </conditionalFormatting>
  <conditionalFormatting sqref="HB5:HB7">
    <cfRule type="cellIs" dxfId="1" priority="124" operator="equal">
      <formula>"D"</formula>
    </cfRule>
  </conditionalFormatting>
  <conditionalFormatting sqref="HB5:HB7">
    <cfRule type="cellIs" dxfId="0" priority="125" operator="equal">
      <formula>1</formula>
    </cfRule>
  </conditionalFormatting>
  <conditionalFormatting sqref="HB5:HB7">
    <cfRule type="cellIs" dxfId="2" priority="126" operator="equal">
      <formula>"B"</formula>
    </cfRule>
  </conditionalFormatting>
  <conditionalFormatting sqref="HB5:HB7">
    <cfRule type="cellIs" dxfId="3" priority="127" operator="equal">
      <formula>"S"</formula>
    </cfRule>
  </conditionalFormatting>
  <conditionalFormatting sqref="HB5:HC7">
    <cfRule type="cellIs" dxfId="4" priority="128" operator="equal">
      <formula>"V"</formula>
    </cfRule>
  </conditionalFormatting>
  <conditionalFormatting sqref="HC7">
    <cfRule type="cellIs" dxfId="1" priority="129" operator="equal">
      <formula>"D"</formula>
    </cfRule>
  </conditionalFormatting>
  <conditionalFormatting sqref="HC7">
    <cfRule type="cellIs" dxfId="0" priority="130" operator="equal">
      <formula>1</formula>
    </cfRule>
  </conditionalFormatting>
  <conditionalFormatting sqref="HC7">
    <cfRule type="cellIs" dxfId="2" priority="131" operator="equal">
      <formula>"B"</formula>
    </cfRule>
  </conditionalFormatting>
  <conditionalFormatting sqref="HC7">
    <cfRule type="cellIs" dxfId="3" priority="132" operator="equal">
      <formula>"S"</formula>
    </cfRule>
  </conditionalFormatting>
  <conditionalFormatting sqref="HE4">
    <cfRule type="cellIs" dxfId="4" priority="133" operator="equal">
      <formula>"V"</formula>
    </cfRule>
  </conditionalFormatting>
  <conditionalFormatting sqref="HE4:HF4">
    <cfRule type="cellIs" dxfId="1" priority="134" operator="equal">
      <formula>"D"</formula>
    </cfRule>
  </conditionalFormatting>
  <conditionalFormatting sqref="HE4:HF4">
    <cfRule type="cellIs" dxfId="0" priority="135" operator="equal">
      <formula>1</formula>
    </cfRule>
  </conditionalFormatting>
  <conditionalFormatting sqref="HE4:HF4">
    <cfRule type="cellIs" dxfId="2" priority="136" operator="equal">
      <formula>"B"</formula>
    </cfRule>
  </conditionalFormatting>
  <conditionalFormatting sqref="HE4:HF4">
    <cfRule type="cellIs" dxfId="3" priority="137" operator="equal">
      <formula>"S"</formula>
    </cfRule>
  </conditionalFormatting>
  <conditionalFormatting sqref="HE8:HI9">
    <cfRule type="cellIs" dxfId="4" priority="138" operator="equal">
      <formula>"V"</formula>
    </cfRule>
  </conditionalFormatting>
  <conditionalFormatting sqref="HF14:HH14">
    <cfRule type="cellIs" dxfId="4" priority="139" operator="equal">
      <formula>"V"</formula>
    </cfRule>
  </conditionalFormatting>
  <conditionalFormatting sqref="HI3">
    <cfRule type="cellIs" dxfId="1" priority="140" operator="equal">
      <formula>"D"</formula>
    </cfRule>
  </conditionalFormatting>
  <conditionalFormatting sqref="HI3">
    <cfRule type="cellIs" dxfId="0" priority="141" operator="equal">
      <formula>1</formula>
    </cfRule>
  </conditionalFormatting>
  <conditionalFormatting sqref="HI3">
    <cfRule type="cellIs" dxfId="2" priority="142" operator="equal">
      <formula>"B"</formula>
    </cfRule>
  </conditionalFormatting>
  <conditionalFormatting sqref="HI3">
    <cfRule type="cellIs" dxfId="3" priority="143" operator="equal">
      <formula>"S"</formula>
    </cfRule>
  </conditionalFormatting>
  <conditionalFormatting sqref="HI5:HI6">
    <cfRule type="cellIs" dxfId="4" priority="144" operator="equal">
      <formula>"V"</formula>
    </cfRule>
  </conditionalFormatting>
  <conditionalFormatting sqref="HI5:HI7">
    <cfRule type="cellIs" dxfId="0" priority="145" operator="equal">
      <formula>1</formula>
    </cfRule>
  </conditionalFormatting>
  <conditionalFormatting sqref="HJ3">
    <cfRule type="cellIs" dxfId="4" priority="146" operator="equal">
      <formula>"V"</formula>
    </cfRule>
  </conditionalFormatting>
  <conditionalFormatting sqref="HJ5:HJ6">
    <cfRule type="cellIs" dxfId="0" priority="147" operator="equal">
      <formula>1</formula>
    </cfRule>
  </conditionalFormatting>
  <conditionalFormatting sqref="HJ7:HQ17 HR8:HV9 HR11:HR12">
    <cfRule type="cellIs" dxfId="4" priority="148" operator="equal">
      <formula>"V"</formula>
    </cfRule>
  </conditionalFormatting>
  <conditionalFormatting sqref="HL4">
    <cfRule type="cellIs" dxfId="0" priority="149" operator="equal">
      <formula>1</formula>
    </cfRule>
  </conditionalFormatting>
  <conditionalFormatting sqref="HL8:HL9">
    <cfRule type="cellIs" dxfId="4" priority="150" operator="equal">
      <formula>"V"</formula>
    </cfRule>
  </conditionalFormatting>
  <conditionalFormatting sqref="HM14:HO14">
    <cfRule type="cellIs" dxfId="4" priority="151" operator="equal">
      <formula>"V"</formula>
    </cfRule>
  </conditionalFormatting>
  <conditionalFormatting sqref="HM18:IO27">
    <cfRule type="cellIs" dxfId="4" priority="152" operator="equal">
      <formula>"V"</formula>
    </cfRule>
  </conditionalFormatting>
  <conditionalFormatting sqref="HM18:IO27">
    <cfRule type="cellIs" dxfId="2" priority="153" operator="equal">
      <formula>"B"</formula>
    </cfRule>
  </conditionalFormatting>
  <conditionalFormatting sqref="HM18:IO27">
    <cfRule type="cellIs" dxfId="3" priority="154" operator="equal">
      <formula>"S"</formula>
    </cfRule>
  </conditionalFormatting>
  <conditionalFormatting sqref="HM18:IO27">
    <cfRule type="cellIs" dxfId="0" priority="155" operator="equal">
      <formula>1</formula>
    </cfRule>
  </conditionalFormatting>
  <conditionalFormatting sqref="HM18:IO27">
    <cfRule type="cellIs" dxfId="4" priority="156" operator="equal">
      <formula>"CM"</formula>
    </cfRule>
  </conditionalFormatting>
  <conditionalFormatting sqref="HM18:IO27">
    <cfRule type="cellIs" dxfId="1" priority="157" operator="equal">
      <formula>"D"</formula>
    </cfRule>
  </conditionalFormatting>
  <conditionalFormatting sqref="H3:H27 I3:CC23 CD3:CD80 CE3:EX23 EY3:FV27 FW3:HL23 HM3:JW17">
    <cfRule type="cellIs" dxfId="3" priority="158" operator="equal">
      <formula>"S"</formula>
    </cfRule>
  </conditionalFormatting>
  <conditionalFormatting sqref="H3:H27 I3:CC23 CD3:CD80 CE3:EX23 EY3:FV27 FW3:HL23 HM3:JW17">
    <cfRule type="cellIs" dxfId="0" priority="159" operator="equal">
      <formula>1</formula>
    </cfRule>
  </conditionalFormatting>
  <conditionalFormatting sqref="HM3:JW17">
    <cfRule type="cellIs" dxfId="1" priority="160" operator="equal">
      <formula>"D"</formula>
    </cfRule>
  </conditionalFormatting>
  <conditionalFormatting sqref="HP3">
    <cfRule type="cellIs" dxfId="4" priority="161" operator="equal">
      <formula>"V"</formula>
    </cfRule>
  </conditionalFormatting>
  <conditionalFormatting sqref="HP5:HP7">
    <cfRule type="cellIs" dxfId="0" priority="162" operator="equal">
      <formula>1</formula>
    </cfRule>
  </conditionalFormatting>
  <conditionalFormatting sqref="HP6 HW7 IH6 JF6">
    <cfRule type="cellIs" dxfId="4" priority="163" operator="equal">
      <formula>"V"</formula>
    </cfRule>
  </conditionalFormatting>
  <conditionalFormatting sqref="HP6:HP7">
    <cfRule type="cellIs" dxfId="1" priority="164" operator="equal">
      <formula>"D"</formula>
    </cfRule>
  </conditionalFormatting>
  <conditionalFormatting sqref="HP6:HP7">
    <cfRule type="cellIs" dxfId="2" priority="165" operator="equal">
      <formula>"B"</formula>
    </cfRule>
  </conditionalFormatting>
  <conditionalFormatting sqref="HP6:HP7">
    <cfRule type="cellIs" dxfId="3" priority="166" operator="equal">
      <formula>"S"</formula>
    </cfRule>
  </conditionalFormatting>
  <conditionalFormatting sqref="HP3:HQ3">
    <cfRule type="cellIs" dxfId="1" priority="167" operator="equal">
      <formula>"D"</formula>
    </cfRule>
  </conditionalFormatting>
  <conditionalFormatting sqref="HP3:HQ3">
    <cfRule type="cellIs" dxfId="0" priority="168" operator="equal">
      <formula>1</formula>
    </cfRule>
  </conditionalFormatting>
  <conditionalFormatting sqref="HP3:HQ3">
    <cfRule type="cellIs" dxfId="2" priority="169" operator="equal">
      <formula>"B"</formula>
    </cfRule>
  </conditionalFormatting>
  <conditionalFormatting sqref="HP3:HQ3">
    <cfRule type="cellIs" dxfId="3" priority="170" operator="equal">
      <formula>"S"</formula>
    </cfRule>
  </conditionalFormatting>
  <conditionalFormatting sqref="HQ5:HQ7">
    <cfRule type="cellIs" dxfId="4" priority="171" operator="equal">
      <formula>"V"</formula>
    </cfRule>
  </conditionalFormatting>
  <conditionalFormatting sqref="GL10:GM10 GY10:HH10 HM12:JS12 HQ9:HV9 HX10:IC10 IA12:IF13 IH11:IM12 IL9:IQ9 IP13:JA13 JN10:JS10 JQ12:JV13">
    <cfRule type="cellIs" dxfId="4" priority="172" operator="equal">
      <formula>"V"</formula>
    </cfRule>
  </conditionalFormatting>
  <conditionalFormatting sqref="GL10:GM10 GY10:HH10 HM12:HR12 HQ9:HV9 HX10:IC10 IA12:IF13 IH12:IM12 IS10:IX10 IV13:JA13 JC12:JJ12 JG9:JL9 JN10:JS10 JQ12:JV13">
    <cfRule type="cellIs" dxfId="3" priority="173" operator="equal">
      <formula>"S"</formula>
    </cfRule>
  </conditionalFormatting>
  <conditionalFormatting sqref="HS4">
    <cfRule type="cellIs" dxfId="1" priority="174" operator="equal">
      <formula>"D"</formula>
    </cfRule>
  </conditionalFormatting>
  <conditionalFormatting sqref="HS4">
    <cfRule type="cellIs" dxfId="0" priority="175" operator="equal">
      <formula>1</formula>
    </cfRule>
  </conditionalFormatting>
  <conditionalFormatting sqref="HS4">
    <cfRule type="cellIs" dxfId="2" priority="176" operator="equal">
      <formula>"B"</formula>
    </cfRule>
  </conditionalFormatting>
  <conditionalFormatting sqref="HS4">
    <cfRule type="cellIs" dxfId="3" priority="177" operator="equal">
      <formula>"S"</formula>
    </cfRule>
  </conditionalFormatting>
  <conditionalFormatting sqref="HT4">
    <cfRule type="cellIs" dxfId="4" priority="178" operator="equal">
      <formula>"V"</formula>
    </cfRule>
  </conditionalFormatting>
  <conditionalFormatting sqref="HT14:HV14">
    <cfRule type="cellIs" dxfId="4" priority="179" operator="equal">
      <formula>"V"</formula>
    </cfRule>
  </conditionalFormatting>
  <conditionalFormatting sqref="HW5:HW8">
    <cfRule type="cellIs" dxfId="1" priority="180" operator="equal">
      <formula>"D"</formula>
    </cfRule>
  </conditionalFormatting>
  <conditionalFormatting sqref="HW5:HW8">
    <cfRule type="cellIs" dxfId="0" priority="181" operator="equal">
      <formula>1</formula>
    </cfRule>
  </conditionalFormatting>
  <conditionalFormatting sqref="HW5:HW8">
    <cfRule type="cellIs" dxfId="2" priority="182" operator="equal">
      <formula>"B"</formula>
    </cfRule>
  </conditionalFormatting>
  <conditionalFormatting sqref="HX5:HX6">
    <cfRule type="cellIs" dxfId="4" priority="183" operator="equal">
      <formula>"V"</formula>
    </cfRule>
  </conditionalFormatting>
  <conditionalFormatting sqref="HX13:HZ13">
    <cfRule type="cellIs" dxfId="3" priority="184" operator="equal">
      <formula>"S"</formula>
    </cfRule>
  </conditionalFormatting>
  <conditionalFormatting sqref="HX13:HZ13">
    <cfRule type="cellIs" dxfId="1" priority="185" operator="equal">
      <formula>"D"</formula>
    </cfRule>
  </conditionalFormatting>
  <conditionalFormatting sqref="HX13:HZ13">
    <cfRule type="cellIs" dxfId="0" priority="186" operator="equal">
      <formula>1</formula>
    </cfRule>
  </conditionalFormatting>
  <conditionalFormatting sqref="HX13:HZ13">
    <cfRule type="cellIs" dxfId="2" priority="187" operator="equal">
      <formula>"B"</formula>
    </cfRule>
  </conditionalFormatting>
  <conditionalFormatting sqref="HX8:ID8 IW12:JA12">
    <cfRule type="cellIs" dxfId="1" priority="188" operator="equal">
      <formula>"D"</formula>
    </cfRule>
  </conditionalFormatting>
  <conditionalFormatting sqref="HX8:ID8 IW12:JA12">
    <cfRule type="cellIs" dxfId="0" priority="189" operator="equal">
      <formula>1</formula>
    </cfRule>
  </conditionalFormatting>
  <conditionalFormatting sqref="HX8:ID8 IW12:JA12">
    <cfRule type="cellIs" dxfId="2" priority="190" operator="equal">
      <formula>"B"</formula>
    </cfRule>
  </conditionalFormatting>
  <conditionalFormatting sqref="HZ4">
    <cfRule type="cellIs" dxfId="4" priority="191" operator="equal">
      <formula>"V"</formula>
    </cfRule>
  </conditionalFormatting>
  <conditionalFormatting sqref="HZ4:IA4">
    <cfRule type="cellIs" dxfId="1" priority="192" operator="equal">
      <formula>"D"</formula>
    </cfRule>
  </conditionalFormatting>
  <conditionalFormatting sqref="HZ4:IA4">
    <cfRule type="cellIs" dxfId="2" priority="193" operator="equal">
      <formula>"B"</formula>
    </cfRule>
  </conditionalFormatting>
  <conditionalFormatting sqref="HZ4:IA4">
    <cfRule type="cellIs" dxfId="3" priority="194" operator="equal">
      <formula>"S"</formula>
    </cfRule>
  </conditionalFormatting>
  <conditionalFormatting sqref="HZ14:IC14">
    <cfRule type="cellIs" dxfId="4" priority="195" operator="equal">
      <formula>"V"</formula>
    </cfRule>
  </conditionalFormatting>
  <conditionalFormatting sqref="HZ9:IJ9">
    <cfRule type="cellIs" dxfId="1" priority="196" operator="equal">
      <formula>"D"</formula>
    </cfRule>
  </conditionalFormatting>
  <conditionalFormatting sqref="HZ9:IJ9">
    <cfRule type="cellIs" dxfId="0" priority="197" operator="equal">
      <formula>1</formula>
    </cfRule>
  </conditionalFormatting>
  <conditionalFormatting sqref="HZ9:IJ9">
    <cfRule type="cellIs" dxfId="2" priority="198" operator="equal">
      <formula>"B"</formula>
    </cfRule>
  </conditionalFormatting>
  <conditionalFormatting sqref="IA4:IA5">
    <cfRule type="cellIs" dxfId="0" priority="199" operator="equal">
      <formula>1</formula>
    </cfRule>
  </conditionalFormatting>
  <conditionalFormatting sqref="HI5:HJ6 HW5:HW7 IA5:IB5 ID5:ID6 ID6:IE6 IK6:IK7 IU7 JF6:JF7 JM5:JM7 JT5:JT6 JW6">
    <cfRule type="cellIs" dxfId="3" priority="200" operator="equal">
      <formula>"S"</formula>
    </cfRule>
  </conditionalFormatting>
  <conditionalFormatting sqref="HI5:HJ6 IA5:IB5 ID5:ID6 ID6:IE6 IK6:IK7 IU7 JF6:JF7 JT5:JT6 JW6">
    <cfRule type="cellIs" dxfId="1" priority="201" operator="equal">
      <formula>"D"</formula>
    </cfRule>
  </conditionalFormatting>
  <conditionalFormatting sqref="HI5:HJ6 IA5:IB5 ID5:ID6 ID6:IE6 IK6:IK7 IU7 JF6:JF7 JT5:JT6 JW6">
    <cfRule type="cellIs" dxfId="2" priority="202" operator="equal">
      <formula>"B"</formula>
    </cfRule>
  </conditionalFormatting>
  <conditionalFormatting sqref="IB5">
    <cfRule type="cellIs" dxfId="0" priority="203" operator="equal">
      <formula>1</formula>
    </cfRule>
  </conditionalFormatting>
  <conditionalFormatting sqref="IC9">
    <cfRule type="cellIs" dxfId="4" priority="204" operator="equal">
      <formula>"V"</formula>
    </cfRule>
  </conditionalFormatting>
  <conditionalFormatting sqref="ID3">
    <cfRule type="cellIs" dxfId="1" priority="205" operator="equal">
      <formula>"D"</formula>
    </cfRule>
  </conditionalFormatting>
  <conditionalFormatting sqref="ID3">
    <cfRule type="cellIs" dxfId="0" priority="206" operator="equal">
      <formula>1</formula>
    </cfRule>
  </conditionalFormatting>
  <conditionalFormatting sqref="ID3">
    <cfRule type="cellIs" dxfId="2" priority="207" operator="equal">
      <formula>"B"</formula>
    </cfRule>
  </conditionalFormatting>
  <conditionalFormatting sqref="ID3">
    <cfRule type="cellIs" dxfId="3" priority="208" operator="equal">
      <formula>"S"</formula>
    </cfRule>
  </conditionalFormatting>
  <conditionalFormatting sqref="ID5">
    <cfRule type="cellIs" dxfId="4" priority="209" operator="equal">
      <formula>"V"</formula>
    </cfRule>
  </conditionalFormatting>
  <conditionalFormatting sqref="IE3">
    <cfRule type="cellIs" dxfId="4" priority="210" operator="equal">
      <formula>"V"</formula>
    </cfRule>
  </conditionalFormatting>
  <conditionalFormatting sqref="IF10:JG10">
    <cfRule type="cellIs" dxfId="1" priority="211" operator="equal">
      <formula>"D"</formula>
    </cfRule>
  </conditionalFormatting>
  <conditionalFormatting sqref="IF10:JG10">
    <cfRule type="cellIs" dxfId="0" priority="212" operator="equal">
      <formula>1</formula>
    </cfRule>
  </conditionalFormatting>
  <conditionalFormatting sqref="IF10:JG10">
    <cfRule type="cellIs" dxfId="2" priority="213" operator="equal">
      <formula>"B"</formula>
    </cfRule>
  </conditionalFormatting>
  <conditionalFormatting sqref="IK3">
    <cfRule type="cellIs" dxfId="4" priority="214" operator="equal">
      <formula>"V"</formula>
    </cfRule>
  </conditionalFormatting>
  <conditionalFormatting sqref="IK3:IL3">
    <cfRule type="cellIs" dxfId="1" priority="215" operator="equal">
      <formula>"D"</formula>
    </cfRule>
  </conditionalFormatting>
  <conditionalFormatting sqref="IK3:IL3">
    <cfRule type="cellIs" dxfId="0" priority="216" operator="equal">
      <formula>1</formula>
    </cfRule>
  </conditionalFormatting>
  <conditionalFormatting sqref="IK3:IL3">
    <cfRule type="cellIs" dxfId="2" priority="217" operator="equal">
      <formula>"B"</formula>
    </cfRule>
  </conditionalFormatting>
  <conditionalFormatting sqref="IK3:IL3">
    <cfRule type="cellIs" dxfId="3" priority="218" operator="equal">
      <formula>"S"</formula>
    </cfRule>
  </conditionalFormatting>
  <conditionalFormatting sqref="IK10:IX10">
    <cfRule type="cellIs" dxfId="4" priority="219" operator="equal">
      <formula>"V"</formula>
    </cfRule>
  </conditionalFormatting>
  <conditionalFormatting sqref="GI5:GK6 GI8:GN9 GL10:GV10 HE8:HI9 IH6:II6 IL5 IR8:IV8 IU11:IY12">
    <cfRule type="cellIs" dxfId="1" priority="220" operator="equal">
      <formula>"D"</formula>
    </cfRule>
  </conditionalFormatting>
  <conditionalFormatting sqref="GI5:GK6 GI8:GN9 GL10:GV10 HE8:HI9 IH6:II6 IL5 IR8:IV8 IU11:IY12">
    <cfRule type="cellIs" dxfId="0" priority="221" operator="equal">
      <formula>1</formula>
    </cfRule>
  </conditionalFormatting>
  <conditionalFormatting sqref="GI5:GK6 GI8:GN9 GL10:GV10 HE8:HI9 IH6:II6 IL5 IR8:IV8 IU11:IY12">
    <cfRule type="cellIs" dxfId="2" priority="222" operator="equal">
      <formula>"B"</formula>
    </cfRule>
  </conditionalFormatting>
  <conditionalFormatting sqref="IL9:IQ10">
    <cfRule type="cellIs" dxfId="3" priority="223" operator="equal">
      <formula>"S"</formula>
    </cfRule>
  </conditionalFormatting>
  <conditionalFormatting sqref="IL9:JU9">
    <cfRule type="cellIs" dxfId="1" priority="224" operator="equal">
      <formula>"D"</formula>
    </cfRule>
  </conditionalFormatting>
  <conditionalFormatting sqref="IL9:JU9">
    <cfRule type="cellIs" dxfId="0" priority="225" operator="equal">
      <formula>1</formula>
    </cfRule>
  </conditionalFormatting>
  <conditionalFormatting sqref="IL9:JU9">
    <cfRule type="cellIs" dxfId="2" priority="226" operator="equal">
      <formula>"B"</formula>
    </cfRule>
  </conditionalFormatting>
  <conditionalFormatting sqref="IM12:IO13 IS15:IX15 JC12:JH13 JE15:JL15 JI13 JJ12:JJ13 JS15:JW15">
    <cfRule type="cellIs" dxfId="4" priority="227" operator="equal">
      <formula>"V"</formula>
    </cfRule>
  </conditionalFormatting>
  <conditionalFormatting sqref="IN4">
    <cfRule type="cellIs" dxfId="1" priority="228" operator="equal">
      <formula>"D"</formula>
    </cfRule>
  </conditionalFormatting>
  <conditionalFormatting sqref="IN4">
    <cfRule type="cellIs" dxfId="2" priority="229" operator="equal">
      <formula>"B"</formula>
    </cfRule>
  </conditionalFormatting>
  <conditionalFormatting sqref="IN4">
    <cfRule type="cellIs" dxfId="3" priority="230" operator="equal">
      <formula>"S"</formula>
    </cfRule>
  </conditionalFormatting>
  <conditionalFormatting sqref="IO4">
    <cfRule type="cellIs" dxfId="4" priority="231" operator="equal">
      <formula>"V"</formula>
    </cfRule>
  </conditionalFormatting>
  <conditionalFormatting sqref="IR7">
    <cfRule type="cellIs" dxfId="1" priority="232" operator="equal">
      <formula>"D"</formula>
    </cfRule>
  </conditionalFormatting>
  <conditionalFormatting sqref="IR7">
    <cfRule type="cellIs" dxfId="2" priority="233" operator="equal">
      <formula>"B"</formula>
    </cfRule>
  </conditionalFormatting>
  <conditionalFormatting sqref="IR7">
    <cfRule type="cellIs" dxfId="3" priority="234" operator="equal">
      <formula>"S"</formula>
    </cfRule>
  </conditionalFormatting>
  <conditionalFormatting sqref="IR7">
    <cfRule type="cellIs" dxfId="4" priority="235" operator="equal">
      <formula>"V"</formula>
    </cfRule>
  </conditionalFormatting>
  <conditionalFormatting sqref="IS5:IV5">
    <cfRule type="cellIs" dxfId="4" priority="236" operator="equal">
      <formula>"V"</formula>
    </cfRule>
  </conditionalFormatting>
  <conditionalFormatting sqref="IU4">
    <cfRule type="cellIs" dxfId="4" priority="237" operator="equal">
      <formula>"V"</formula>
    </cfRule>
  </conditionalFormatting>
  <conditionalFormatting sqref="IU7">
    <cfRule type="cellIs" dxfId="4" priority="238" operator="equal">
      <formula>"V"</formula>
    </cfRule>
  </conditionalFormatting>
  <conditionalFormatting sqref="IU4:IV4">
    <cfRule type="cellIs" dxfId="1" priority="239" operator="equal">
      <formula>"D"</formula>
    </cfRule>
  </conditionalFormatting>
  <conditionalFormatting sqref="IU4:IV4">
    <cfRule type="cellIs" dxfId="0" priority="240" operator="equal">
      <formula>1</formula>
    </cfRule>
  </conditionalFormatting>
  <conditionalFormatting sqref="IU4:IV4">
    <cfRule type="cellIs" dxfId="2" priority="241" operator="equal">
      <formula>"B"</formula>
    </cfRule>
  </conditionalFormatting>
  <conditionalFormatting sqref="IU4:IV4">
    <cfRule type="cellIs" dxfId="3" priority="242" operator="equal">
      <formula>"S"</formula>
    </cfRule>
  </conditionalFormatting>
  <conditionalFormatting sqref="IU17:IY17">
    <cfRule type="cellIs" dxfId="1" priority="243" operator="equal">
      <formula>"D"</formula>
    </cfRule>
  </conditionalFormatting>
  <conditionalFormatting sqref="IU17:IY17">
    <cfRule type="cellIs" dxfId="0" priority="244" operator="equal">
      <formula>1</formula>
    </cfRule>
  </conditionalFormatting>
  <conditionalFormatting sqref="IU17:IY17">
    <cfRule type="cellIs" dxfId="2" priority="245" operator="equal">
      <formula>"B"</formula>
    </cfRule>
  </conditionalFormatting>
  <conditionalFormatting sqref="IY3">
    <cfRule type="cellIs" dxfId="1" priority="246" operator="equal">
      <formula>"D"</formula>
    </cfRule>
  </conditionalFormatting>
  <conditionalFormatting sqref="IY3">
    <cfRule type="cellIs" dxfId="0" priority="247" operator="equal">
      <formula>1</formula>
    </cfRule>
  </conditionalFormatting>
  <conditionalFormatting sqref="IY3">
    <cfRule type="cellIs" dxfId="2" priority="248" operator="equal">
      <formula>"B"</formula>
    </cfRule>
  </conditionalFormatting>
  <conditionalFormatting sqref="IY3">
    <cfRule type="cellIs" dxfId="3" priority="249" operator="equal">
      <formula>"S"</formula>
    </cfRule>
  </conditionalFormatting>
  <conditionalFormatting sqref="IY5:IY7">
    <cfRule type="cellIs" dxfId="0" priority="250" operator="equal">
      <formula>1</formula>
    </cfRule>
  </conditionalFormatting>
  <conditionalFormatting sqref="IY6">
    <cfRule type="cellIs" dxfId="4" priority="251" operator="equal">
      <formula>"V"</formula>
    </cfRule>
  </conditionalFormatting>
  <conditionalFormatting sqref="IY5:JC6">
    <cfRule type="cellIs" dxfId="1" priority="252" operator="equal">
      <formula>"D"</formula>
    </cfRule>
  </conditionalFormatting>
  <conditionalFormatting sqref="IY5:JC6">
    <cfRule type="cellIs" dxfId="2" priority="253" operator="equal">
      <formula>"B"</formula>
    </cfRule>
  </conditionalFormatting>
  <conditionalFormatting sqref="IY5:JC6">
    <cfRule type="cellIs" dxfId="3" priority="254" operator="equal">
      <formula>"S"</formula>
    </cfRule>
  </conditionalFormatting>
  <conditionalFormatting sqref="IY9:JL9">
    <cfRule type="cellIs" dxfId="4" priority="255" operator="equal">
      <formula>"V"</formula>
    </cfRule>
  </conditionalFormatting>
  <conditionalFormatting sqref="IZ3">
    <cfRule type="cellIs" dxfId="4" priority="256" operator="equal">
      <formula>"V"</formula>
    </cfRule>
  </conditionalFormatting>
  <conditionalFormatting sqref="IZ6:JC6">
    <cfRule type="cellIs" dxfId="0" priority="257" operator="equal">
      <formula>1</formula>
    </cfRule>
  </conditionalFormatting>
  <conditionalFormatting sqref="IZ8:JE8">
    <cfRule type="cellIs" dxfId="4" priority="258" operator="equal">
      <formula>"V"</formula>
    </cfRule>
  </conditionalFormatting>
  <conditionalFormatting sqref="IZ8:JE9">
    <cfRule type="cellIs" dxfId="3" priority="259" operator="equal">
      <formula>"S"</formula>
    </cfRule>
  </conditionalFormatting>
  <conditionalFormatting sqref="IZ11:JH12">
    <cfRule type="cellIs" dxfId="4" priority="260" operator="equal">
      <formula>"V"</formula>
    </cfRule>
  </conditionalFormatting>
  <conditionalFormatting sqref="IZ8:JN8">
    <cfRule type="cellIs" dxfId="1" priority="261" operator="equal">
      <formula>"D"</formula>
    </cfRule>
  </conditionalFormatting>
  <conditionalFormatting sqref="IZ8:JN8">
    <cfRule type="cellIs" dxfId="0" priority="262" operator="equal">
      <formula>1</formula>
    </cfRule>
  </conditionalFormatting>
  <conditionalFormatting sqref="IZ8:JN8">
    <cfRule type="cellIs" dxfId="2" priority="263" operator="equal">
      <formula>"B"</formula>
    </cfRule>
  </conditionalFormatting>
  <conditionalFormatting sqref="JB10:JC10">
    <cfRule type="cellIs" dxfId="4" priority="264" operator="equal">
      <formula>"V"</formula>
    </cfRule>
  </conditionalFormatting>
  <conditionalFormatting sqref="JF3">
    <cfRule type="cellIs" dxfId="4" priority="265" operator="equal">
      <formula>"V"</formula>
    </cfRule>
  </conditionalFormatting>
  <conditionalFormatting sqref="JF3:JG3">
    <cfRule type="cellIs" dxfId="1" priority="266" operator="equal">
      <formula>"D"</formula>
    </cfRule>
  </conditionalFormatting>
  <conditionalFormatting sqref="JF3:JG3">
    <cfRule type="cellIs" dxfId="0" priority="267" operator="equal">
      <formula>1</formula>
    </cfRule>
  </conditionalFormatting>
  <conditionalFormatting sqref="JF3:JG3">
    <cfRule type="cellIs" dxfId="2" priority="268" operator="equal">
      <formula>"B"</formula>
    </cfRule>
  </conditionalFormatting>
  <conditionalFormatting sqref="JF3:JG3">
    <cfRule type="cellIs" dxfId="3" priority="269" operator="equal">
      <formula>"S"</formula>
    </cfRule>
  </conditionalFormatting>
  <conditionalFormatting sqref="JF10:JG10">
    <cfRule type="cellIs" dxfId="4" priority="270" operator="equal">
      <formula>"V"</formula>
    </cfRule>
  </conditionalFormatting>
  <conditionalFormatting sqref="GV5:GV6 GY10:HP10 HM12:IE12 HQ5:HQ6 HQ9:HQ10 HR9:HW9 HX9:IE10 IA12:IO13 IP12:IU12 IV12:JJ13 JG5 JK12:JS12 JN10:JW10 JQ12:JW13">
    <cfRule type="cellIs" dxfId="1" priority="271" operator="equal">
      <formula>"D"</formula>
    </cfRule>
  </conditionalFormatting>
  <conditionalFormatting sqref="GV5:GV6 GY10:HP10 HM12:IE12 HQ5:HQ6 HQ9:HQ10 HR9:HW9 HX9:IE10 IA12:IO13 IP12:IU12 IV12:JJ13 JG5 JK12:JS12 JN10:JW10 JQ12:JW13">
    <cfRule type="cellIs" dxfId="0" priority="272" operator="equal">
      <formula>1</formula>
    </cfRule>
  </conditionalFormatting>
  <conditionalFormatting sqref="GV5:GV6 GY10:HP10 HM12:IE12 HQ5:HQ6 HQ9:HQ10 HR9:HW9 HX9:IE10 IA12:IO13 IP12:IU12 IV12:JJ13 JG5 JK12:JS12 JN10:JW10 JQ12:JW13">
    <cfRule type="cellIs" dxfId="2" priority="273" operator="equal">
      <formula>"B"</formula>
    </cfRule>
  </conditionalFormatting>
  <conditionalFormatting sqref="GV5:GV6 GV10 HQ5:HQ6 HQ10 IA12 IE9:IJ9 IO12:IO13 IV12 JG5 JG10 JJ13 JQ12 JS12 JU9">
    <cfRule type="cellIs" dxfId="3" priority="274" operator="equal">
      <formula>"S"</formula>
    </cfRule>
  </conditionalFormatting>
  <conditionalFormatting sqref="JG5">
    <cfRule type="cellIs" dxfId="4" priority="275" operator="equal">
      <formula>"V"</formula>
    </cfRule>
  </conditionalFormatting>
  <conditionalFormatting sqref="JI4">
    <cfRule type="cellIs" dxfId="1" priority="276" operator="equal">
      <formula>"D"</formula>
    </cfRule>
  </conditionalFormatting>
  <conditionalFormatting sqref="JI4">
    <cfRule type="cellIs" dxfId="2" priority="277" operator="equal">
      <formula>"B"</formula>
    </cfRule>
  </conditionalFormatting>
  <conditionalFormatting sqref="JI4">
    <cfRule type="cellIs" dxfId="3" priority="278" operator="equal">
      <formula>"S"</formula>
    </cfRule>
  </conditionalFormatting>
  <conditionalFormatting sqref="JJ4">
    <cfRule type="cellIs" dxfId="4" priority="279" operator="equal">
      <formula>"V"</formula>
    </cfRule>
  </conditionalFormatting>
  <conditionalFormatting sqref="JK13:JR13">
    <cfRule type="cellIs" dxfId="4" priority="280" operator="equal">
      <formula>"V"</formula>
    </cfRule>
  </conditionalFormatting>
  <conditionalFormatting sqref="JM5:JM8">
    <cfRule type="cellIs" dxfId="1" priority="281" operator="equal">
      <formula>"D"</formula>
    </cfRule>
  </conditionalFormatting>
  <conditionalFormatting sqref="JM5:JM8">
    <cfRule type="cellIs" dxfId="0" priority="282" operator="equal">
      <formula>1</formula>
    </cfRule>
  </conditionalFormatting>
  <conditionalFormatting sqref="JM5:JM8">
    <cfRule type="cellIs" dxfId="2" priority="283" operator="equal">
      <formula>"B"</formula>
    </cfRule>
  </conditionalFormatting>
  <conditionalFormatting sqref="JM7:JM8">
    <cfRule type="cellIs" dxfId="4" priority="284" operator="equal">
      <formula>"V"</formula>
    </cfRule>
  </conditionalFormatting>
  <conditionalFormatting sqref="JN8">
    <cfRule type="cellIs" dxfId="3" priority="285" operator="equal">
      <formula>"S"</formula>
    </cfRule>
  </conditionalFormatting>
  <conditionalFormatting sqref="JN8">
    <cfRule type="cellIs" dxfId="4" priority="286" operator="equal">
      <formula>"V"</formula>
    </cfRule>
  </conditionalFormatting>
  <conditionalFormatting sqref="JN5:JQ5">
    <cfRule type="cellIs" dxfId="4" priority="287" operator="equal">
      <formula>"V"</formula>
    </cfRule>
  </conditionalFormatting>
  <conditionalFormatting sqref="JN6:JS6">
    <cfRule type="cellIs" dxfId="4" priority="288" operator="equal">
      <formula>"V"</formula>
    </cfRule>
  </conditionalFormatting>
  <conditionalFormatting sqref="JP4">
    <cfRule type="cellIs" dxfId="4" priority="289" operator="equal">
      <formula>"V"</formula>
    </cfRule>
  </conditionalFormatting>
  <conditionalFormatting sqref="JP4:JQ4">
    <cfRule type="cellIs" dxfId="1" priority="290" operator="equal">
      <formula>"D"</formula>
    </cfRule>
  </conditionalFormatting>
  <conditionalFormatting sqref="JP4:JQ4">
    <cfRule type="cellIs" dxfId="0" priority="291" operator="equal">
      <formula>1</formula>
    </cfRule>
  </conditionalFormatting>
  <conditionalFormatting sqref="JP4:JQ4">
    <cfRule type="cellIs" dxfId="2" priority="292" operator="equal">
      <formula>"B"</formula>
    </cfRule>
  </conditionalFormatting>
  <conditionalFormatting sqref="JP4:JQ4">
    <cfRule type="cellIs" dxfId="3" priority="293" operator="equal">
      <formula>"S"</formula>
    </cfRule>
  </conditionalFormatting>
  <conditionalFormatting sqref="JP9:JQ9">
    <cfRule type="cellIs" dxfId="4" priority="294" operator="equal">
      <formula>"V"</formula>
    </cfRule>
  </conditionalFormatting>
  <conditionalFormatting sqref="JP8:JW8">
    <cfRule type="cellIs" dxfId="1" priority="295" operator="equal">
      <formula>"D"</formula>
    </cfRule>
  </conditionalFormatting>
  <conditionalFormatting sqref="JP8:JW8">
    <cfRule type="cellIs" dxfId="0" priority="296" operator="equal">
      <formula>1</formula>
    </cfRule>
  </conditionalFormatting>
  <conditionalFormatting sqref="JP8:JW8">
    <cfRule type="cellIs" dxfId="2" priority="297" operator="equal">
      <formula>"B"</formula>
    </cfRule>
  </conditionalFormatting>
  <conditionalFormatting sqref="JT3">
    <cfRule type="cellIs" dxfId="1" priority="298" operator="equal">
      <formula>"D"</formula>
    </cfRule>
  </conditionalFormatting>
  <conditionalFormatting sqref="JT3">
    <cfRule type="cellIs" dxfId="0" priority="299" operator="equal">
      <formula>1</formula>
    </cfRule>
  </conditionalFormatting>
  <conditionalFormatting sqref="JT3">
    <cfRule type="cellIs" dxfId="2" priority="300" operator="equal">
      <formula>"B"</formula>
    </cfRule>
  </conditionalFormatting>
  <conditionalFormatting sqref="JT3">
    <cfRule type="cellIs" dxfId="3" priority="301" operator="equal">
      <formula>"S"</formula>
    </cfRule>
  </conditionalFormatting>
  <conditionalFormatting sqref="JT5:JT6">
    <cfRule type="cellIs" dxfId="4" priority="302" operator="equal">
      <formula>"V"</formula>
    </cfRule>
  </conditionalFormatting>
  <conditionalFormatting sqref="JN7:JS7 JT5:JT7">
    <cfRule type="cellIs" dxfId="0" priority="303" operator="equal">
      <formula>1</formula>
    </cfRule>
  </conditionalFormatting>
  <conditionalFormatting sqref="JT6:JU6">
    <cfRule type="cellIs" dxfId="1" priority="304" operator="equal">
      <formula>"D"</formula>
    </cfRule>
  </conditionalFormatting>
  <conditionalFormatting sqref="JT6:JU6">
    <cfRule type="cellIs" dxfId="2" priority="305" operator="equal">
      <formula>"B"</formula>
    </cfRule>
  </conditionalFormatting>
  <conditionalFormatting sqref="JT6:JU6">
    <cfRule type="cellIs" dxfId="3" priority="306" operator="equal">
      <formula>"S"</formula>
    </cfRule>
  </conditionalFormatting>
  <conditionalFormatting sqref="JT9:JU9">
    <cfRule type="cellIs" dxfId="4" priority="307" operator="equal">
      <formula>"V"</formula>
    </cfRule>
  </conditionalFormatting>
  <conditionalFormatting sqref="JU3">
    <cfRule type="cellIs" dxfId="4" priority="308" operator="equal">
      <formula>"V"</formula>
    </cfRule>
  </conditionalFormatting>
  <conditionalFormatting sqref="JU6">
    <cfRule type="cellIs" dxfId="0" priority="309" operator="equal">
      <formula>1</formula>
    </cfRule>
  </conditionalFormatting>
  <conditionalFormatting sqref="JU5:JW5">
    <cfRule type="cellIs" dxfId="4" priority="310" operator="equal">
      <formula>"V"</formula>
    </cfRule>
  </conditionalFormatting>
  <conditionalFormatting sqref="JP8:JW8 JU7:JW17">
    <cfRule type="cellIs" dxfId="4" priority="311" operator="equal">
      <formula>"V"</formula>
    </cfRule>
  </conditionalFormatting>
  <conditionalFormatting sqref="ID8">
    <cfRule type="cellIs" dxfId="3" priority="312" operator="equal">
      <formula>"S"</formula>
    </cfRule>
  </conditionalFormatting>
  <conditionalFormatting sqref="ID8">
    <cfRule type="cellIs" dxfId="1" priority="313" operator="equal">
      <formula>"D"</formula>
    </cfRule>
  </conditionalFormatting>
  <conditionalFormatting sqref="ID8">
    <cfRule type="cellIs" dxfId="2" priority="314" operator="equal">
      <formula>"B"</formula>
    </cfRule>
  </conditionalFormatting>
  <conditionalFormatting sqref="ID8">
    <cfRule type="cellIs" dxfId="4" priority="315" operator="equal">
      <formula>"V"</formula>
    </cfRule>
  </conditionalFormatting>
  <printOptions/>
  <pageMargins bottom="0.75" footer="0.0" header="0.0" left="0.25" right="0.25" top="0.75"/>
  <pageSetup paperSize="9" scale="14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2025-05-29T11:56:35Z</dcterms:created>
  <dc:creator>Sebastián Pereyra Russo</dc:creator>
</cp:coreProperties>
</file>